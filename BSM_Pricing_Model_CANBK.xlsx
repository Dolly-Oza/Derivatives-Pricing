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uant Finance\Projects\"/>
    </mc:Choice>
  </mc:AlternateContent>
  <xr:revisionPtr revIDLastSave="0" documentId="13_ncr:1_{2577A802-A326-43F3-BDE3-D4DD4BECC7EE}" xr6:coauthVersionLast="47" xr6:coauthVersionMax="47" xr10:uidLastSave="{00000000-0000-0000-0000-000000000000}"/>
  <bookViews>
    <workbookView xWindow="-108" yWindow="-108" windowWidth="23256" windowHeight="13176" activeTab="1" xr2:uid="{609DD0A3-6A7D-4C47-A3E6-964FDA205FA9}"/>
  </bookViews>
  <sheets>
    <sheet name="CNBK Historical Data" sheetId="1" r:id="rId1"/>
    <sheet name="BSM" sheetId="2" r:id="rId2"/>
    <sheet name="S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7" i="2"/>
  <c r="B9" i="2"/>
  <c r="B13" i="2"/>
  <c r="N15" i="2"/>
  <c r="N14" i="2"/>
  <c r="N4" i="2"/>
  <c r="N5" i="2"/>
  <c r="N6" i="2"/>
  <c r="N7" i="2"/>
  <c r="N8" i="2"/>
  <c r="N9" i="2"/>
  <c r="N10" i="2"/>
  <c r="N11" i="2"/>
  <c r="N12" i="2"/>
  <c r="N13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3" i="2"/>
  <c r="B8" i="2"/>
  <c r="B12" i="2" l="1"/>
  <c r="B11" i="2"/>
  <c r="B17" i="2"/>
  <c r="B16" i="2"/>
  <c r="B19" i="2" l="1"/>
  <c r="B18" i="2"/>
</calcChain>
</file>

<file path=xl/sharedStrings.xml><?xml version="1.0" encoding="utf-8"?>
<sst xmlns="http://schemas.openxmlformats.org/spreadsheetml/2006/main" count="292" uniqueCount="279">
  <si>
    <t>Date</t>
  </si>
  <si>
    <t>Price</t>
  </si>
  <si>
    <t>Open</t>
  </si>
  <si>
    <t>High</t>
  </si>
  <si>
    <t>Low</t>
  </si>
  <si>
    <t>Vol.</t>
  </si>
  <si>
    <t>Change %</t>
  </si>
  <si>
    <t>14.18M</t>
  </si>
  <si>
    <t>19.39M</t>
  </si>
  <si>
    <t>24.14M</t>
  </si>
  <si>
    <t>30.37M</t>
  </si>
  <si>
    <t>27.70M</t>
  </si>
  <si>
    <t>23.21M</t>
  </si>
  <si>
    <t>23.55M</t>
  </si>
  <si>
    <t>43.62M</t>
  </si>
  <si>
    <t>42.35M</t>
  </si>
  <si>
    <t>17.85M</t>
  </si>
  <si>
    <t>19.41M</t>
  </si>
  <si>
    <t>20.13M</t>
  </si>
  <si>
    <t>30.51M</t>
  </si>
  <si>
    <t>24.05M</t>
  </si>
  <si>
    <t>35.40M</t>
  </si>
  <si>
    <t>22.28M</t>
  </si>
  <si>
    <t>19.14M</t>
  </si>
  <si>
    <t>26.50M</t>
  </si>
  <si>
    <t>29.59M</t>
  </si>
  <si>
    <t>44.63M</t>
  </si>
  <si>
    <t>26.46M</t>
  </si>
  <si>
    <t>27.53M</t>
  </si>
  <si>
    <t>39.71M</t>
  </si>
  <si>
    <t>21.81M</t>
  </si>
  <si>
    <t>28.31M</t>
  </si>
  <si>
    <t>27.50M</t>
  </si>
  <si>
    <t>22.29M</t>
  </si>
  <si>
    <t>34.48M</t>
  </si>
  <si>
    <t>57.72M</t>
  </si>
  <si>
    <t>80.52M</t>
  </si>
  <si>
    <t>93.43M</t>
  </si>
  <si>
    <t>37.84M</t>
  </si>
  <si>
    <t>44.85M</t>
  </si>
  <si>
    <t>30.46M</t>
  </si>
  <si>
    <t>17.01M</t>
  </si>
  <si>
    <t>34.82M</t>
  </si>
  <si>
    <t>7.99M</t>
  </si>
  <si>
    <t>27.68M</t>
  </si>
  <si>
    <t>20.35M</t>
  </si>
  <si>
    <t>20.09M</t>
  </si>
  <si>
    <t>22.11M</t>
  </si>
  <si>
    <t>19.64M</t>
  </si>
  <si>
    <t>21.13M</t>
  </si>
  <si>
    <t>23.84M</t>
  </si>
  <si>
    <t>16.98M</t>
  </si>
  <si>
    <t>38.01M</t>
  </si>
  <si>
    <t>30.54M</t>
  </si>
  <si>
    <t>27.34M</t>
  </si>
  <si>
    <t>34.67M</t>
  </si>
  <si>
    <t>38.05M</t>
  </si>
  <si>
    <t>47.47M</t>
  </si>
  <si>
    <t>28.33M</t>
  </si>
  <si>
    <t>25.53M</t>
  </si>
  <si>
    <t>30.76M</t>
  </si>
  <si>
    <t>55.16M</t>
  </si>
  <si>
    <t>44.54M</t>
  </si>
  <si>
    <t>31.51M</t>
  </si>
  <si>
    <t>46.39M</t>
  </si>
  <si>
    <t>26.97M</t>
  </si>
  <si>
    <t>34.94M</t>
  </si>
  <si>
    <t>15.10M</t>
  </si>
  <si>
    <t>9.01M</t>
  </si>
  <si>
    <t>10.89M</t>
  </si>
  <si>
    <t>18.80M</t>
  </si>
  <si>
    <t>18.31M</t>
  </si>
  <si>
    <t>7.10M</t>
  </si>
  <si>
    <t>8.14M</t>
  </si>
  <si>
    <t>8.01M</t>
  </si>
  <si>
    <t>12.95M</t>
  </si>
  <si>
    <t>12.01M</t>
  </si>
  <si>
    <t>9.18M</t>
  </si>
  <si>
    <t>9.17M</t>
  </si>
  <si>
    <t>14.00M</t>
  </si>
  <si>
    <t>27.01M</t>
  </si>
  <si>
    <t>16.13M</t>
  </si>
  <si>
    <t>12.85M</t>
  </si>
  <si>
    <t>13.16M</t>
  </si>
  <si>
    <t>14.60M</t>
  </si>
  <si>
    <t>20.00M</t>
  </si>
  <si>
    <t>15.70M</t>
  </si>
  <si>
    <t>10.88M</t>
  </si>
  <si>
    <t>12.10M</t>
  </si>
  <si>
    <t>10.61M</t>
  </si>
  <si>
    <t>16.77M</t>
  </si>
  <si>
    <t>14.14M</t>
  </si>
  <si>
    <t>40.66M</t>
  </si>
  <si>
    <t>11.55M</t>
  </si>
  <si>
    <t>21.30M</t>
  </si>
  <si>
    <t>13.29M</t>
  </si>
  <si>
    <t>48.20M</t>
  </si>
  <si>
    <t>23.53M</t>
  </si>
  <si>
    <t>32.04M</t>
  </si>
  <si>
    <t>23.23M</t>
  </si>
  <si>
    <t>41.77M</t>
  </si>
  <si>
    <t>86.13M</t>
  </si>
  <si>
    <t>38.21M</t>
  </si>
  <si>
    <t>42.33M</t>
  </si>
  <si>
    <t>23.98M</t>
  </si>
  <si>
    <t>18.09M</t>
  </si>
  <si>
    <t>15.77M</t>
  </si>
  <si>
    <t>40.47M</t>
  </si>
  <si>
    <t>25.38M</t>
  </si>
  <si>
    <t>27.22M</t>
  </si>
  <si>
    <t>13.37M</t>
  </si>
  <si>
    <t>16.08M</t>
  </si>
  <si>
    <t>13.52M</t>
  </si>
  <si>
    <t>12.74M</t>
  </si>
  <si>
    <t>15.82M</t>
  </si>
  <si>
    <t>10.57M</t>
  </si>
  <si>
    <t>13.26M</t>
  </si>
  <si>
    <t>20.73M</t>
  </si>
  <si>
    <t>34.77M</t>
  </si>
  <si>
    <t>34.49M</t>
  </si>
  <si>
    <t>21.84M</t>
  </si>
  <si>
    <t>19.88M</t>
  </si>
  <si>
    <t>25.34M</t>
  </si>
  <si>
    <t>13.11M</t>
  </si>
  <si>
    <t>23.31M</t>
  </si>
  <si>
    <t>25.63M</t>
  </si>
  <si>
    <t>11.80M</t>
  </si>
  <si>
    <t>14.82M</t>
  </si>
  <si>
    <t>24.55M</t>
  </si>
  <si>
    <t>32.52M</t>
  </si>
  <si>
    <t>33.24M</t>
  </si>
  <si>
    <t>41.72M</t>
  </si>
  <si>
    <t>32.76M</t>
  </si>
  <si>
    <t>34.70M</t>
  </si>
  <si>
    <t>49.88M</t>
  </si>
  <si>
    <t>13.57M</t>
  </si>
  <si>
    <t>20.54M</t>
  </si>
  <si>
    <t>29.82M</t>
  </si>
  <si>
    <t>47.87M</t>
  </si>
  <si>
    <t>70.76M</t>
  </si>
  <si>
    <t>29.17M</t>
  </si>
  <si>
    <t>19.20M</t>
  </si>
  <si>
    <t>17.38M</t>
  </si>
  <si>
    <t>16.16M</t>
  </si>
  <si>
    <t>18.27M</t>
  </si>
  <si>
    <t>20.97M</t>
  </si>
  <si>
    <t>24.58M</t>
  </si>
  <si>
    <t>26.14M</t>
  </si>
  <si>
    <t>33.16M</t>
  </si>
  <si>
    <t>22.58M</t>
  </si>
  <si>
    <t>46.74M</t>
  </si>
  <si>
    <t>59.52M</t>
  </si>
  <si>
    <t>49.39M</t>
  </si>
  <si>
    <t>41.03M</t>
  </si>
  <si>
    <t>78.48M</t>
  </si>
  <si>
    <t>25.19M</t>
  </si>
  <si>
    <t>27.37M</t>
  </si>
  <si>
    <t>13.79M</t>
  </si>
  <si>
    <t>15.23M</t>
  </si>
  <si>
    <t>23.76M</t>
  </si>
  <si>
    <t>47.03M</t>
  </si>
  <si>
    <t>28.30M</t>
  </si>
  <si>
    <t>41.41M</t>
  </si>
  <si>
    <t>27.75M</t>
  </si>
  <si>
    <t>41.48M</t>
  </si>
  <si>
    <t>49.28M</t>
  </si>
  <si>
    <t>27.80M</t>
  </si>
  <si>
    <t>31.76M</t>
  </si>
  <si>
    <t>31.99M</t>
  </si>
  <si>
    <t>22.09M</t>
  </si>
  <si>
    <t>21.83M</t>
  </si>
  <si>
    <t>21.52M</t>
  </si>
  <si>
    <t>29.33M</t>
  </si>
  <si>
    <t>33.55M</t>
  </si>
  <si>
    <t>38.51M</t>
  </si>
  <si>
    <t>18.48M</t>
  </si>
  <si>
    <t>30.19M</t>
  </si>
  <si>
    <t>58.40M</t>
  </si>
  <si>
    <t>21.46M</t>
  </si>
  <si>
    <t>23.48M</t>
  </si>
  <si>
    <t>36.77M</t>
  </si>
  <si>
    <t>26.69M</t>
  </si>
  <si>
    <t>17.36M</t>
  </si>
  <si>
    <t>22.12M</t>
  </si>
  <si>
    <t>20.71M</t>
  </si>
  <si>
    <t>13.12M</t>
  </si>
  <si>
    <t>25.69M</t>
  </si>
  <si>
    <t>14.73M</t>
  </si>
  <si>
    <t>21.74M</t>
  </si>
  <si>
    <t>14.63M</t>
  </si>
  <si>
    <t>12.99M</t>
  </si>
  <si>
    <t>19.43M</t>
  </si>
  <si>
    <t>17.41M</t>
  </si>
  <si>
    <t>25.68M</t>
  </si>
  <si>
    <t>30.41M</t>
  </si>
  <si>
    <t>36.42M</t>
  </si>
  <si>
    <t>25.10M</t>
  </si>
  <si>
    <t>13.25M</t>
  </si>
  <si>
    <t>18.44M</t>
  </si>
  <si>
    <t>26.40M</t>
  </si>
  <si>
    <t>27.55M</t>
  </si>
  <si>
    <t>21.93M</t>
  </si>
  <si>
    <t>23.89M</t>
  </si>
  <si>
    <t>29.19M</t>
  </si>
  <si>
    <t>27.03M</t>
  </si>
  <si>
    <t>21.44M</t>
  </si>
  <si>
    <t>23.70M</t>
  </si>
  <si>
    <t>11.92M</t>
  </si>
  <si>
    <t>18.70M</t>
  </si>
  <si>
    <t>17.66M</t>
  </si>
  <si>
    <t>28.99M</t>
  </si>
  <si>
    <t>18.83M</t>
  </si>
  <si>
    <t>18.36M</t>
  </si>
  <si>
    <t>16.28M</t>
  </si>
  <si>
    <t>33.48M</t>
  </si>
  <si>
    <t>26.85M</t>
  </si>
  <si>
    <t>23.57M</t>
  </si>
  <si>
    <t>42.09M</t>
  </si>
  <si>
    <t>44.80M</t>
  </si>
  <si>
    <t>12.61M</t>
  </si>
  <si>
    <t>11.47M</t>
  </si>
  <si>
    <t>17.91M</t>
  </si>
  <si>
    <t>12.35M</t>
  </si>
  <si>
    <t>29.52M</t>
  </si>
  <si>
    <t>15.55M</t>
  </si>
  <si>
    <t>34.65M</t>
  </si>
  <si>
    <t>34.47M</t>
  </si>
  <si>
    <t>26.04M</t>
  </si>
  <si>
    <t>34.25M</t>
  </si>
  <si>
    <t>26.56M</t>
  </si>
  <si>
    <t>19.53M</t>
  </si>
  <si>
    <t>17.68M</t>
  </si>
  <si>
    <t>28.86M</t>
  </si>
  <si>
    <t>19.29M</t>
  </si>
  <si>
    <t>9.26M</t>
  </si>
  <si>
    <t>12.53M</t>
  </si>
  <si>
    <t>42.40M</t>
  </si>
  <si>
    <t>7.37M</t>
  </si>
  <si>
    <t>14.94M</t>
  </si>
  <si>
    <t>15.38M</t>
  </si>
  <si>
    <t>20.49M</t>
  </si>
  <si>
    <t>19.44M</t>
  </si>
  <si>
    <t>17.35M</t>
  </si>
  <si>
    <t>18.76M</t>
  </si>
  <si>
    <t>13.73M</t>
  </si>
  <si>
    <t>13.50M</t>
  </si>
  <si>
    <t>Contract Name</t>
  </si>
  <si>
    <t>Underlying Stock</t>
  </si>
  <si>
    <t>CANBK 27-Jan 26 155.00 CE</t>
  </si>
  <si>
    <t>Canbk</t>
  </si>
  <si>
    <t>Current Date</t>
  </si>
  <si>
    <t>Expiry Date</t>
  </si>
  <si>
    <t>Strike Price (K)</t>
  </si>
  <si>
    <t>Stock Price (S)</t>
  </si>
  <si>
    <t>Risk-free rate (r)</t>
  </si>
  <si>
    <t>Volatility (Annualized)</t>
  </si>
  <si>
    <t>Volatility (Daily)</t>
  </si>
  <si>
    <t>d1</t>
  </si>
  <si>
    <t>d2</t>
  </si>
  <si>
    <t>q</t>
  </si>
  <si>
    <t>Maturity (t)</t>
  </si>
  <si>
    <t>21.01M</t>
  </si>
  <si>
    <t>10.58M</t>
  </si>
  <si>
    <t>Returns</t>
  </si>
  <si>
    <t>Formula</t>
  </si>
  <si>
    <t>Option Fair Value</t>
  </si>
  <si>
    <t>Actual</t>
  </si>
  <si>
    <t>Valuation</t>
  </si>
  <si>
    <t>Call</t>
  </si>
  <si>
    <t>Put</t>
  </si>
  <si>
    <t>Call (Dividends)</t>
  </si>
  <si>
    <t>Put (Dividends)</t>
  </si>
  <si>
    <t>Overvalued</t>
  </si>
  <si>
    <t>BS (without dividends)</t>
  </si>
  <si>
    <t>Dividend Date</t>
  </si>
  <si>
    <t>Dividend Amount</t>
  </si>
  <si>
    <t>BSM (with dividends)</t>
  </si>
  <si>
    <t>Undervalued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</si>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</sst>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0" fontId="0" fillId="0" borderId="0" xfId="1" applyNumberFormat="1" applyFont="1"/>
    <xf numFmtId="0" fontId="18" fillId="0" borderId="0" xfId="0" applyFont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33" borderId="11" xfId="0" applyFont="1" applyFill="1" applyBorder="1"/>
    <xf numFmtId="0" fontId="16" fillId="33" borderId="12" xfId="0" applyFont="1" applyFill="1" applyBorder="1"/>
    <xf numFmtId="0" fontId="16" fillId="33" borderId="13" xfId="0" applyFont="1" applyFill="1" applyBorder="1"/>
    <xf numFmtId="164" fontId="0" fillId="0" borderId="10" xfId="0" applyNumberFormat="1" applyBorder="1"/>
    <xf numFmtId="164" fontId="0" fillId="0" borderId="17" xfId="0" applyNumberFormat="1" applyBorder="1"/>
    <xf numFmtId="2" fontId="0" fillId="0" borderId="10" xfId="0" applyNumberFormat="1" applyBorder="1"/>
    <xf numFmtId="14" fontId="0" fillId="0" borderId="16" xfId="0" applyNumberFormat="1" applyBorder="1"/>
    <xf numFmtId="2" fontId="0" fillId="0" borderId="18" xfId="0" applyNumberFormat="1" applyBorder="1"/>
    <xf numFmtId="0" fontId="16" fillId="34" borderId="10" xfId="0" applyFont="1" applyFill="1" applyBorder="1"/>
    <xf numFmtId="14" fontId="0" fillId="0" borderId="10" xfId="0" applyNumberFormat="1" applyBorder="1"/>
    <xf numFmtId="165" fontId="0" fillId="0" borderId="10" xfId="0" applyNumberFormat="1" applyBorder="1"/>
    <xf numFmtId="10" fontId="0" fillId="0" borderId="10" xfId="0" applyNumberForma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</xdr:colOff>
      <xdr:row>2</xdr:row>
      <xdr:rowOff>137160</xdr:rowOff>
    </xdr:from>
    <xdr:to>
      <xdr:col>9</xdr:col>
      <xdr:colOff>373380</xdr:colOff>
      <xdr:row>10</xdr:row>
      <xdr:rowOff>141413</xdr:rowOff>
    </xdr:to>
    <xdr:pic>
      <xdr:nvPicPr>
        <xdr:cNvPr id="2" name="Picture 1" descr="Application of Black Scholes Models for European Option pricing | by  Ibrahim Lanre Adedimeji | Medium">
          <a:extLst>
            <a:ext uri="{FF2B5EF4-FFF2-40B4-BE49-F238E27FC236}">
              <a16:creationId xmlns:a16="http://schemas.microsoft.com/office/drawing/2014/main" id="{E78B6080-3F6A-3109-D9AD-6589A35F8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502920"/>
          <a:ext cx="2804160" cy="1467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22860</xdr:colOff>
      <xdr:row>14</xdr:row>
      <xdr:rowOff>121920</xdr:rowOff>
    </xdr:from>
    <xdr:to>
      <xdr:col>10</xdr:col>
      <xdr:colOff>262496</xdr:colOff>
      <xdr:row>19</xdr:row>
      <xdr:rowOff>76200</xdr:rowOff>
    </xdr:to>
    <xdr:pic>
      <xdr:nvPicPr>
        <xdr:cNvPr id="3" name="Picture 2" descr="BSM with dividends | Forum | Bionic Turtle">
          <a:extLst>
            <a:ext uri="{FF2B5EF4-FFF2-40B4-BE49-F238E27FC236}">
              <a16:creationId xmlns:a16="http://schemas.microsoft.com/office/drawing/2014/main" id="{6269FAE4-710A-E8B8-40BE-630784AA2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3540" y="2689860"/>
          <a:ext cx="3287636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43700</xdr:rowOff>
    </xdr:from>
    <xdr:to>
      <xdr:col>8</xdr:col>
      <xdr:colOff>259963</xdr:colOff>
      <xdr:row>11</xdr:row>
      <xdr:rowOff>148922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1328D4-4345-44BA-9DFA-83B9416DD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580"/>
          <a:ext cx="5136763" cy="1934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263</xdr:rowOff>
    </xdr:from>
    <xdr:to>
      <xdr:col>12</xdr:col>
      <xdr:colOff>71535</xdr:colOff>
      <xdr:row>16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2CD175-6180-A9C3-C7D1-92862871F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7703"/>
          <a:ext cx="7386735" cy="677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99F2-818A-44D9-A0EF-2A25044215D9}">
  <dimension ref="A1:G251"/>
  <sheetViews>
    <sheetView workbookViewId="0">
      <selection activeCell="H11" sqref="H11"/>
    </sheetView>
  </sheetViews>
  <sheetFormatPr defaultRowHeight="14.4" x14ac:dyDescent="0.3"/>
  <cols>
    <col min="1" max="1" width="10.33203125" bestFit="1" customWidth="1"/>
  </cols>
  <sheetData>
    <row r="1" spans="1:7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spans="1:7" x14ac:dyDescent="0.3">
      <c r="A2" s="21">
        <v>46003</v>
      </c>
      <c r="B2" s="6">
        <v>146.63</v>
      </c>
      <c r="C2" s="6">
        <v>147.01</v>
      </c>
      <c r="D2" s="6">
        <v>147.79</v>
      </c>
      <c r="E2" s="6">
        <v>145.71</v>
      </c>
      <c r="F2" s="6" t="s">
        <v>7</v>
      </c>
      <c r="G2" s="23">
        <v>-1.1999999999999999E-3</v>
      </c>
    </row>
    <row r="3" spans="1:7" x14ac:dyDescent="0.3">
      <c r="A3" s="21">
        <v>46002</v>
      </c>
      <c r="B3" s="6">
        <v>146.80000000000001</v>
      </c>
      <c r="C3" s="6">
        <v>145.69999999999999</v>
      </c>
      <c r="D3" s="6">
        <v>147.99</v>
      </c>
      <c r="E3" s="6">
        <v>145.25</v>
      </c>
      <c r="F3" s="6" t="s">
        <v>8</v>
      </c>
      <c r="G3" s="23">
        <v>8.5000000000000006E-3</v>
      </c>
    </row>
    <row r="4" spans="1:7" x14ac:dyDescent="0.3">
      <c r="A4" s="21">
        <v>46001</v>
      </c>
      <c r="B4" s="6">
        <v>145.56</v>
      </c>
      <c r="C4" s="6">
        <v>146.69999999999999</v>
      </c>
      <c r="D4" s="6">
        <v>147.79</v>
      </c>
      <c r="E4" s="6">
        <v>144.4</v>
      </c>
      <c r="F4" s="6" t="s">
        <v>9</v>
      </c>
      <c r="G4" s="23">
        <v>-4.3E-3</v>
      </c>
    </row>
    <row r="5" spans="1:7" x14ac:dyDescent="0.3">
      <c r="A5" s="21">
        <v>46000</v>
      </c>
      <c r="B5" s="6">
        <v>146.19</v>
      </c>
      <c r="C5" s="6">
        <v>142.55000000000001</v>
      </c>
      <c r="D5" s="6">
        <v>146.49</v>
      </c>
      <c r="E5" s="6">
        <v>141.11000000000001</v>
      </c>
      <c r="F5" s="6" t="s">
        <v>10</v>
      </c>
      <c r="G5" s="23">
        <v>2.35E-2</v>
      </c>
    </row>
    <row r="6" spans="1:7" x14ac:dyDescent="0.3">
      <c r="A6" s="21">
        <v>45999</v>
      </c>
      <c r="B6" s="6">
        <v>142.84</v>
      </c>
      <c r="C6" s="6">
        <v>148.5</v>
      </c>
      <c r="D6" s="6">
        <v>148.9</v>
      </c>
      <c r="E6" s="6">
        <v>141.97</v>
      </c>
      <c r="F6" s="6" t="s">
        <v>11</v>
      </c>
      <c r="G6" s="23">
        <v>-3.9E-2</v>
      </c>
    </row>
    <row r="7" spans="1:7" x14ac:dyDescent="0.3">
      <c r="A7" s="21">
        <v>45996</v>
      </c>
      <c r="B7" s="6">
        <v>148.63999999999999</v>
      </c>
      <c r="C7" s="6">
        <v>147.69</v>
      </c>
      <c r="D7" s="6">
        <v>149.44999999999999</v>
      </c>
      <c r="E7" s="6">
        <v>146.69</v>
      </c>
      <c r="F7" s="6" t="s">
        <v>12</v>
      </c>
      <c r="G7" s="23">
        <v>8.5000000000000006E-3</v>
      </c>
    </row>
    <row r="8" spans="1:7" x14ac:dyDescent="0.3">
      <c r="A8" s="21">
        <v>45995</v>
      </c>
      <c r="B8" s="6">
        <v>147.38999999999999</v>
      </c>
      <c r="C8" s="6">
        <v>146.08000000000001</v>
      </c>
      <c r="D8" s="6">
        <v>148.79</v>
      </c>
      <c r="E8" s="6">
        <v>145.81</v>
      </c>
      <c r="F8" s="6" t="s">
        <v>13</v>
      </c>
      <c r="G8" s="23">
        <v>8.9999999999999993E-3</v>
      </c>
    </row>
    <row r="9" spans="1:7" x14ac:dyDescent="0.3">
      <c r="A9" s="21">
        <v>45994</v>
      </c>
      <c r="B9" s="6">
        <v>146.08000000000001</v>
      </c>
      <c r="C9" s="6">
        <v>152.80000000000001</v>
      </c>
      <c r="D9" s="6">
        <v>152.94999999999999</v>
      </c>
      <c r="E9" s="6">
        <v>145.03</v>
      </c>
      <c r="F9" s="6" t="s">
        <v>14</v>
      </c>
      <c r="G9" s="23">
        <v>-3.9100000000000003E-2</v>
      </c>
    </row>
    <row r="10" spans="1:7" x14ac:dyDescent="0.3">
      <c r="A10" s="21">
        <v>45993</v>
      </c>
      <c r="B10" s="6">
        <v>152.03</v>
      </c>
      <c r="C10" s="6">
        <v>150.88</v>
      </c>
      <c r="D10" s="6">
        <v>154.21</v>
      </c>
      <c r="E10" s="6">
        <v>150.6</v>
      </c>
      <c r="F10" s="6" t="s">
        <v>15</v>
      </c>
      <c r="G10" s="23">
        <v>1.0200000000000001E-2</v>
      </c>
    </row>
    <row r="11" spans="1:7" x14ac:dyDescent="0.3">
      <c r="A11" s="21">
        <v>45992</v>
      </c>
      <c r="B11" s="6">
        <v>150.5</v>
      </c>
      <c r="C11" s="6">
        <v>152</v>
      </c>
      <c r="D11" s="6">
        <v>153.68</v>
      </c>
      <c r="E11" s="6">
        <v>149.6</v>
      </c>
      <c r="F11" s="6" t="s">
        <v>16</v>
      </c>
      <c r="G11" s="23">
        <v>-7.1000000000000004E-3</v>
      </c>
    </row>
    <row r="12" spans="1:7" x14ac:dyDescent="0.3">
      <c r="A12" s="21">
        <v>45989</v>
      </c>
      <c r="B12" s="6">
        <v>151.58000000000001</v>
      </c>
      <c r="C12" s="6">
        <v>151.99</v>
      </c>
      <c r="D12" s="6">
        <v>152.34</v>
      </c>
      <c r="E12" s="6">
        <v>150.83000000000001</v>
      </c>
      <c r="F12" s="6" t="s">
        <v>17</v>
      </c>
      <c r="G12" s="23">
        <v>-1.1999999999999999E-3</v>
      </c>
    </row>
    <row r="13" spans="1:7" x14ac:dyDescent="0.3">
      <c r="A13" s="21">
        <v>45988</v>
      </c>
      <c r="B13" s="6">
        <v>151.76</v>
      </c>
      <c r="C13" s="6">
        <v>150.9</v>
      </c>
      <c r="D13" s="6">
        <v>152</v>
      </c>
      <c r="E13" s="6">
        <v>149.85</v>
      </c>
      <c r="F13" s="6" t="s">
        <v>18</v>
      </c>
      <c r="G13" s="23">
        <v>1.0699999999999999E-2</v>
      </c>
    </row>
    <row r="14" spans="1:7" x14ac:dyDescent="0.3">
      <c r="A14" s="21">
        <v>45987</v>
      </c>
      <c r="B14" s="6">
        <v>150.16</v>
      </c>
      <c r="C14" s="6">
        <v>149.69</v>
      </c>
      <c r="D14" s="6">
        <v>152.5</v>
      </c>
      <c r="E14" s="6">
        <v>148.91999999999999</v>
      </c>
      <c r="F14" s="6" t="s">
        <v>19</v>
      </c>
      <c r="G14" s="23">
        <v>9.9000000000000008E-3</v>
      </c>
    </row>
    <row r="15" spans="1:7" x14ac:dyDescent="0.3">
      <c r="A15" s="21">
        <v>45986</v>
      </c>
      <c r="B15" s="6">
        <v>148.69</v>
      </c>
      <c r="C15" s="6">
        <v>146.66</v>
      </c>
      <c r="D15" s="6">
        <v>149.38</v>
      </c>
      <c r="E15" s="6">
        <v>145.30000000000001</v>
      </c>
      <c r="F15" s="6" t="s">
        <v>20</v>
      </c>
      <c r="G15" s="23">
        <v>1.38E-2</v>
      </c>
    </row>
    <row r="16" spans="1:7" x14ac:dyDescent="0.3">
      <c r="A16" s="21">
        <v>45985</v>
      </c>
      <c r="B16" s="6">
        <v>146.66999999999999</v>
      </c>
      <c r="C16" s="6">
        <v>146</v>
      </c>
      <c r="D16" s="6">
        <v>148.59</v>
      </c>
      <c r="E16" s="6">
        <v>145.84</v>
      </c>
      <c r="F16" s="6" t="s">
        <v>21</v>
      </c>
      <c r="G16" s="23">
        <v>6.1999999999999998E-3</v>
      </c>
    </row>
    <row r="17" spans="1:7" x14ac:dyDescent="0.3">
      <c r="A17" s="21">
        <v>45982</v>
      </c>
      <c r="B17" s="6">
        <v>145.77000000000001</v>
      </c>
      <c r="C17" s="6">
        <v>147.31</v>
      </c>
      <c r="D17" s="6">
        <v>148.15</v>
      </c>
      <c r="E17" s="6">
        <v>144.96</v>
      </c>
      <c r="F17" s="6" t="s">
        <v>22</v>
      </c>
      <c r="G17" s="23">
        <v>-1.47E-2</v>
      </c>
    </row>
    <row r="18" spans="1:7" x14ac:dyDescent="0.3">
      <c r="A18" s="21">
        <v>45981</v>
      </c>
      <c r="B18" s="6">
        <v>147.94</v>
      </c>
      <c r="C18" s="6">
        <v>151.59</v>
      </c>
      <c r="D18" s="6">
        <v>151.80000000000001</v>
      </c>
      <c r="E18" s="6">
        <v>147.71</v>
      </c>
      <c r="F18" s="6" t="s">
        <v>23</v>
      </c>
      <c r="G18" s="23">
        <v>-1.6199999999999999E-2</v>
      </c>
    </row>
    <row r="19" spans="1:7" x14ac:dyDescent="0.3">
      <c r="A19" s="21">
        <v>45980</v>
      </c>
      <c r="B19" s="6">
        <v>150.38</v>
      </c>
      <c r="C19" s="6">
        <v>149.19999999999999</v>
      </c>
      <c r="D19" s="6">
        <v>150.88</v>
      </c>
      <c r="E19" s="6">
        <v>147.71</v>
      </c>
      <c r="F19" s="6" t="s">
        <v>24</v>
      </c>
      <c r="G19" s="23">
        <v>9.2999999999999992E-3</v>
      </c>
    </row>
    <row r="20" spans="1:7" x14ac:dyDescent="0.3">
      <c r="A20" s="21">
        <v>45979</v>
      </c>
      <c r="B20" s="6">
        <v>149</v>
      </c>
      <c r="C20" s="6">
        <v>149.47999999999999</v>
      </c>
      <c r="D20" s="6">
        <v>150.69</v>
      </c>
      <c r="E20" s="6">
        <v>148.41</v>
      </c>
      <c r="F20" s="6" t="s">
        <v>25</v>
      </c>
      <c r="G20" s="23">
        <v>-8.0000000000000004E-4</v>
      </c>
    </row>
    <row r="21" spans="1:7" x14ac:dyDescent="0.3">
      <c r="A21" s="21">
        <v>45978</v>
      </c>
      <c r="B21" s="6">
        <v>149.12</v>
      </c>
      <c r="C21" s="6">
        <v>146.6</v>
      </c>
      <c r="D21" s="6">
        <v>150.32</v>
      </c>
      <c r="E21" s="6">
        <v>146.27000000000001</v>
      </c>
      <c r="F21" s="6" t="s">
        <v>26</v>
      </c>
      <c r="G21" s="23">
        <v>2.0899999999999998E-2</v>
      </c>
    </row>
    <row r="22" spans="1:7" x14ac:dyDescent="0.3">
      <c r="A22" s="21">
        <v>45975</v>
      </c>
      <c r="B22" s="6">
        <v>146.07</v>
      </c>
      <c r="C22" s="6">
        <v>143.88</v>
      </c>
      <c r="D22" s="6">
        <v>146.38</v>
      </c>
      <c r="E22" s="6">
        <v>143.36000000000001</v>
      </c>
      <c r="F22" s="6" t="s">
        <v>27</v>
      </c>
      <c r="G22" s="23">
        <v>1.83E-2</v>
      </c>
    </row>
    <row r="23" spans="1:7" x14ac:dyDescent="0.3">
      <c r="A23" s="21">
        <v>45974</v>
      </c>
      <c r="B23" s="6">
        <v>143.44999999999999</v>
      </c>
      <c r="C23" s="6">
        <v>143.5</v>
      </c>
      <c r="D23" s="6">
        <v>145</v>
      </c>
      <c r="E23" s="6">
        <v>143</v>
      </c>
      <c r="F23" s="6" t="s">
        <v>28</v>
      </c>
      <c r="G23" s="23">
        <v>-8.0000000000000004E-4</v>
      </c>
    </row>
    <row r="24" spans="1:7" x14ac:dyDescent="0.3">
      <c r="A24" s="21">
        <v>45973</v>
      </c>
      <c r="B24" s="6">
        <v>143.57</v>
      </c>
      <c r="C24" s="6">
        <v>141.69999999999999</v>
      </c>
      <c r="D24" s="6">
        <v>144.54</v>
      </c>
      <c r="E24" s="6">
        <v>141.37</v>
      </c>
      <c r="F24" s="6" t="s">
        <v>29</v>
      </c>
      <c r="G24" s="23">
        <v>1.9199999999999998E-2</v>
      </c>
    </row>
    <row r="25" spans="1:7" x14ac:dyDescent="0.3">
      <c r="A25" s="21">
        <v>45972</v>
      </c>
      <c r="B25" s="6">
        <v>140.87</v>
      </c>
      <c r="C25" s="6">
        <v>140.6</v>
      </c>
      <c r="D25" s="6">
        <v>141.38999999999999</v>
      </c>
      <c r="E25" s="6">
        <v>137.94999999999999</v>
      </c>
      <c r="F25" s="6" t="s">
        <v>30</v>
      </c>
      <c r="G25" s="23">
        <v>-1.1999999999999999E-3</v>
      </c>
    </row>
    <row r="26" spans="1:7" x14ac:dyDescent="0.3">
      <c r="A26" s="21">
        <v>45971</v>
      </c>
      <c r="B26" s="6">
        <v>141.04</v>
      </c>
      <c r="C26" s="6">
        <v>141.25</v>
      </c>
      <c r="D26" s="6">
        <v>142.6</v>
      </c>
      <c r="E26" s="6">
        <v>139.9</v>
      </c>
      <c r="F26" s="6" t="s">
        <v>31</v>
      </c>
      <c r="G26" s="23">
        <v>2.5999999999999999E-3</v>
      </c>
    </row>
    <row r="27" spans="1:7" x14ac:dyDescent="0.3">
      <c r="A27" s="21">
        <v>45968</v>
      </c>
      <c r="B27" s="6">
        <v>140.66999999999999</v>
      </c>
      <c r="C27" s="6">
        <v>138.69999999999999</v>
      </c>
      <c r="D27" s="6">
        <v>141.41</v>
      </c>
      <c r="E27" s="6">
        <v>136.57</v>
      </c>
      <c r="F27" s="6" t="s">
        <v>32</v>
      </c>
      <c r="G27" s="23">
        <v>1.03E-2</v>
      </c>
    </row>
    <row r="28" spans="1:7" x14ac:dyDescent="0.3">
      <c r="A28" s="21">
        <v>45967</v>
      </c>
      <c r="B28" s="6">
        <v>139.24</v>
      </c>
      <c r="C28" s="6">
        <v>140.25</v>
      </c>
      <c r="D28" s="6">
        <v>140.75</v>
      </c>
      <c r="E28" s="6">
        <v>138.84</v>
      </c>
      <c r="F28" s="6" t="s">
        <v>33</v>
      </c>
      <c r="G28" s="23">
        <v>-2.5999999999999999E-3</v>
      </c>
    </row>
    <row r="29" spans="1:7" x14ac:dyDescent="0.3">
      <c r="A29" s="21">
        <v>45965</v>
      </c>
      <c r="B29" s="6">
        <v>139.6</v>
      </c>
      <c r="C29" s="6">
        <v>139.69999999999999</v>
      </c>
      <c r="D29" s="6">
        <v>140.69</v>
      </c>
      <c r="E29" s="6">
        <v>138.55000000000001</v>
      </c>
      <c r="F29" s="6" t="s">
        <v>34</v>
      </c>
      <c r="G29" s="23">
        <v>0</v>
      </c>
    </row>
    <row r="30" spans="1:7" x14ac:dyDescent="0.3">
      <c r="A30" s="21">
        <v>45964</v>
      </c>
      <c r="B30" s="6">
        <v>139.6</v>
      </c>
      <c r="C30" s="6">
        <v>137.66999999999999</v>
      </c>
      <c r="D30" s="6">
        <v>141.44999999999999</v>
      </c>
      <c r="E30" s="6">
        <v>137.30000000000001</v>
      </c>
      <c r="F30" s="6" t="s">
        <v>35</v>
      </c>
      <c r="G30" s="23">
        <v>1.9099999999999999E-2</v>
      </c>
    </row>
    <row r="31" spans="1:7" x14ac:dyDescent="0.3">
      <c r="A31" s="21">
        <v>45961</v>
      </c>
      <c r="B31" s="6">
        <v>136.99</v>
      </c>
      <c r="C31" s="6">
        <v>131.38999999999999</v>
      </c>
      <c r="D31" s="6">
        <v>138.6</v>
      </c>
      <c r="E31" s="6">
        <v>131.19999999999999</v>
      </c>
      <c r="F31" s="6" t="s">
        <v>36</v>
      </c>
      <c r="G31" s="23">
        <v>3.09E-2</v>
      </c>
    </row>
    <row r="32" spans="1:7" x14ac:dyDescent="0.3">
      <c r="A32" s="21">
        <v>45960</v>
      </c>
      <c r="B32" s="6">
        <v>132.88999999999999</v>
      </c>
      <c r="C32" s="6">
        <v>129</v>
      </c>
      <c r="D32" s="6">
        <v>134.25</v>
      </c>
      <c r="E32" s="6">
        <v>127.8</v>
      </c>
      <c r="F32" s="6" t="s">
        <v>37</v>
      </c>
      <c r="G32" s="23">
        <v>3.2000000000000001E-2</v>
      </c>
    </row>
    <row r="33" spans="1:7" x14ac:dyDescent="0.3">
      <c r="A33" s="21">
        <v>45959</v>
      </c>
      <c r="B33" s="6">
        <v>128.77000000000001</v>
      </c>
      <c r="C33" s="6">
        <v>129.88</v>
      </c>
      <c r="D33" s="6">
        <v>130.4</v>
      </c>
      <c r="E33" s="6">
        <v>128.30000000000001</v>
      </c>
      <c r="F33" s="6" t="s">
        <v>38</v>
      </c>
      <c r="G33" s="23">
        <v>-9.2999999999999992E-3</v>
      </c>
    </row>
    <row r="34" spans="1:7" x14ac:dyDescent="0.3">
      <c r="A34" s="21">
        <v>45958</v>
      </c>
      <c r="B34" s="6">
        <v>129.97999999999999</v>
      </c>
      <c r="C34" s="6">
        <v>130.38999999999999</v>
      </c>
      <c r="D34" s="6">
        <v>131.77000000000001</v>
      </c>
      <c r="E34" s="6">
        <v>127.75</v>
      </c>
      <c r="F34" s="6" t="s">
        <v>39</v>
      </c>
      <c r="G34" s="23">
        <v>6.6E-3</v>
      </c>
    </row>
    <row r="35" spans="1:7" x14ac:dyDescent="0.3">
      <c r="A35" s="21">
        <v>45957</v>
      </c>
      <c r="B35" s="6">
        <v>129.13</v>
      </c>
      <c r="C35" s="6">
        <v>126.25</v>
      </c>
      <c r="D35" s="6">
        <v>129.97999999999999</v>
      </c>
      <c r="E35" s="6">
        <v>125.73</v>
      </c>
      <c r="F35" s="6" t="s">
        <v>40</v>
      </c>
      <c r="G35" s="23">
        <v>2.7300000000000001E-2</v>
      </c>
    </row>
    <row r="36" spans="1:7" x14ac:dyDescent="0.3">
      <c r="A36" s="21">
        <v>45954</v>
      </c>
      <c r="B36" s="6">
        <v>125.7</v>
      </c>
      <c r="C36" s="6">
        <v>126.5</v>
      </c>
      <c r="D36" s="6">
        <v>126.93</v>
      </c>
      <c r="E36" s="6">
        <v>124.73</v>
      </c>
      <c r="F36" s="6" t="s">
        <v>41</v>
      </c>
      <c r="G36" s="23">
        <v>-4.3E-3</v>
      </c>
    </row>
    <row r="37" spans="1:7" x14ac:dyDescent="0.3">
      <c r="A37" s="21">
        <v>45953</v>
      </c>
      <c r="B37" s="6">
        <v>126.24</v>
      </c>
      <c r="C37" s="6">
        <v>127.6</v>
      </c>
      <c r="D37" s="6">
        <v>127.88</v>
      </c>
      <c r="E37" s="6">
        <v>125.82</v>
      </c>
      <c r="F37" s="6" t="s">
        <v>42</v>
      </c>
      <c r="G37" s="23">
        <v>-6.8999999999999999E-3</v>
      </c>
    </row>
    <row r="38" spans="1:7" x14ac:dyDescent="0.3">
      <c r="A38" s="21">
        <v>45951</v>
      </c>
      <c r="B38" s="6">
        <v>127.12</v>
      </c>
      <c r="C38" s="6">
        <v>128.24</v>
      </c>
      <c r="D38" s="6">
        <v>128.80000000000001</v>
      </c>
      <c r="E38" s="6">
        <v>126.45</v>
      </c>
      <c r="F38" s="6" t="s">
        <v>43</v>
      </c>
      <c r="G38" s="23">
        <v>-3.7000000000000002E-3</v>
      </c>
    </row>
    <row r="39" spans="1:7" x14ac:dyDescent="0.3">
      <c r="A39" s="21">
        <v>45950</v>
      </c>
      <c r="B39" s="6">
        <v>127.59</v>
      </c>
      <c r="C39" s="6">
        <v>126.2</v>
      </c>
      <c r="D39" s="6">
        <v>129.44999999999999</v>
      </c>
      <c r="E39" s="6">
        <v>126.11</v>
      </c>
      <c r="F39" s="6" t="s">
        <v>44</v>
      </c>
      <c r="G39" s="23">
        <v>1.67E-2</v>
      </c>
    </row>
    <row r="40" spans="1:7" x14ac:dyDescent="0.3">
      <c r="A40" s="21">
        <v>45947</v>
      </c>
      <c r="B40" s="6">
        <v>125.49</v>
      </c>
      <c r="C40" s="6">
        <v>127.37</v>
      </c>
      <c r="D40" s="6">
        <v>127.55</v>
      </c>
      <c r="E40" s="6">
        <v>124.6</v>
      </c>
      <c r="F40" s="6" t="s">
        <v>45</v>
      </c>
      <c r="G40" s="23">
        <v>-1.4800000000000001E-2</v>
      </c>
    </row>
    <row r="41" spans="1:7" x14ac:dyDescent="0.3">
      <c r="A41" s="21">
        <v>45946</v>
      </c>
      <c r="B41" s="6">
        <v>127.37</v>
      </c>
      <c r="C41" s="6">
        <v>128.99</v>
      </c>
      <c r="D41" s="6">
        <v>130.13999999999999</v>
      </c>
      <c r="E41" s="6">
        <v>127.19</v>
      </c>
      <c r="F41" s="6" t="s">
        <v>46</v>
      </c>
      <c r="G41" s="23">
        <v>-8.0999999999999996E-3</v>
      </c>
    </row>
    <row r="42" spans="1:7" x14ac:dyDescent="0.3">
      <c r="A42" s="21">
        <v>45945</v>
      </c>
      <c r="B42" s="6">
        <v>128.41</v>
      </c>
      <c r="C42" s="6">
        <v>125.8</v>
      </c>
      <c r="D42" s="6">
        <v>128.80000000000001</v>
      </c>
      <c r="E42" s="6">
        <v>125.6</v>
      </c>
      <c r="F42" s="6" t="s">
        <v>47</v>
      </c>
      <c r="G42" s="23">
        <v>2.5499999999999998E-2</v>
      </c>
    </row>
    <row r="43" spans="1:7" x14ac:dyDescent="0.3">
      <c r="A43" s="21">
        <v>45944</v>
      </c>
      <c r="B43" s="6">
        <v>125.22</v>
      </c>
      <c r="C43" s="6">
        <v>127.35</v>
      </c>
      <c r="D43" s="6">
        <v>127.8</v>
      </c>
      <c r="E43" s="6">
        <v>124.6</v>
      </c>
      <c r="F43" s="6" t="s">
        <v>48</v>
      </c>
      <c r="G43" s="23">
        <v>-1.9E-2</v>
      </c>
    </row>
    <row r="44" spans="1:7" x14ac:dyDescent="0.3">
      <c r="A44" s="21">
        <v>45943</v>
      </c>
      <c r="B44" s="6">
        <v>127.64</v>
      </c>
      <c r="C44" s="6">
        <v>127.3</v>
      </c>
      <c r="D44" s="6">
        <v>128.38999999999999</v>
      </c>
      <c r="E44" s="6">
        <v>126.36</v>
      </c>
      <c r="F44" s="6" t="s">
        <v>49</v>
      </c>
      <c r="G44" s="23">
        <v>2E-3</v>
      </c>
    </row>
    <row r="45" spans="1:7" x14ac:dyDescent="0.3">
      <c r="A45" s="21">
        <v>45940</v>
      </c>
      <c r="B45" s="6">
        <v>127.39</v>
      </c>
      <c r="C45" s="6">
        <v>126.5</v>
      </c>
      <c r="D45" s="6">
        <v>128.6</v>
      </c>
      <c r="E45" s="6">
        <v>126.35</v>
      </c>
      <c r="F45" s="6" t="s">
        <v>50</v>
      </c>
      <c r="G45" s="23">
        <v>9.7000000000000003E-3</v>
      </c>
    </row>
    <row r="46" spans="1:7" x14ac:dyDescent="0.3">
      <c r="A46" s="21">
        <v>45939</v>
      </c>
      <c r="B46" s="6">
        <v>126.17</v>
      </c>
      <c r="C46" s="6">
        <v>126.49</v>
      </c>
      <c r="D46" s="6">
        <v>126.99</v>
      </c>
      <c r="E46" s="6">
        <v>125.51</v>
      </c>
      <c r="F46" s="6" t="s">
        <v>51</v>
      </c>
      <c r="G46" s="23">
        <v>1E-3</v>
      </c>
    </row>
    <row r="47" spans="1:7" x14ac:dyDescent="0.3">
      <c r="A47" s="21">
        <v>45938</v>
      </c>
      <c r="B47" s="6">
        <v>126.04</v>
      </c>
      <c r="C47" s="6">
        <v>128.5</v>
      </c>
      <c r="D47" s="6">
        <v>128.55000000000001</v>
      </c>
      <c r="E47" s="6">
        <v>124.7</v>
      </c>
      <c r="F47" s="6" t="s">
        <v>52</v>
      </c>
      <c r="G47" s="23">
        <v>-1.5800000000000002E-2</v>
      </c>
    </row>
    <row r="48" spans="1:7" x14ac:dyDescent="0.3">
      <c r="A48" s="21">
        <v>45937</v>
      </c>
      <c r="B48" s="6">
        <v>128.06</v>
      </c>
      <c r="C48" s="6">
        <v>126.86</v>
      </c>
      <c r="D48" s="6">
        <v>128.5</v>
      </c>
      <c r="E48" s="6">
        <v>125.75</v>
      </c>
      <c r="F48" s="6" t="s">
        <v>53</v>
      </c>
      <c r="G48" s="23">
        <v>1.03E-2</v>
      </c>
    </row>
    <row r="49" spans="1:7" x14ac:dyDescent="0.3">
      <c r="A49" s="21">
        <v>45936</v>
      </c>
      <c r="B49" s="6">
        <v>126.76</v>
      </c>
      <c r="C49" s="6">
        <v>126</v>
      </c>
      <c r="D49" s="6">
        <v>127.95</v>
      </c>
      <c r="E49" s="6">
        <v>125.87</v>
      </c>
      <c r="F49" s="6" t="s">
        <v>54</v>
      </c>
      <c r="G49" s="23">
        <v>6.7999999999999996E-3</v>
      </c>
    </row>
    <row r="50" spans="1:7" x14ac:dyDescent="0.3">
      <c r="A50" s="21">
        <v>45933</v>
      </c>
      <c r="B50" s="6">
        <v>125.9</v>
      </c>
      <c r="C50" s="6">
        <v>123.77</v>
      </c>
      <c r="D50" s="6">
        <v>126.42</v>
      </c>
      <c r="E50" s="6">
        <v>123.32</v>
      </c>
      <c r="F50" s="6" t="s">
        <v>55</v>
      </c>
      <c r="G50" s="23">
        <v>1.7299999999999999E-2</v>
      </c>
    </row>
    <row r="51" spans="1:7" x14ac:dyDescent="0.3">
      <c r="A51" s="21">
        <v>45931</v>
      </c>
      <c r="B51" s="6">
        <v>123.76</v>
      </c>
      <c r="C51" s="6">
        <v>124.3</v>
      </c>
      <c r="D51" s="6">
        <v>124.5</v>
      </c>
      <c r="E51" s="6">
        <v>121.17</v>
      </c>
      <c r="F51" s="6" t="s">
        <v>56</v>
      </c>
      <c r="G51" s="23">
        <v>4.0000000000000002E-4</v>
      </c>
    </row>
    <row r="52" spans="1:7" x14ac:dyDescent="0.3">
      <c r="A52" s="21">
        <v>45930</v>
      </c>
      <c r="B52" s="6">
        <v>123.71</v>
      </c>
      <c r="C52" s="6">
        <v>121.25</v>
      </c>
      <c r="D52" s="6">
        <v>124.45</v>
      </c>
      <c r="E52" s="6">
        <v>120.92</v>
      </c>
      <c r="F52" s="6" t="s">
        <v>57</v>
      </c>
      <c r="G52" s="23">
        <v>2.6800000000000001E-2</v>
      </c>
    </row>
    <row r="53" spans="1:7" x14ac:dyDescent="0.3">
      <c r="A53" s="21">
        <v>45929</v>
      </c>
      <c r="B53" s="6">
        <v>120.48</v>
      </c>
      <c r="C53" s="6">
        <v>118.58</v>
      </c>
      <c r="D53" s="6">
        <v>121.4</v>
      </c>
      <c r="E53" s="6">
        <v>118.26</v>
      </c>
      <c r="F53" s="6" t="s">
        <v>58</v>
      </c>
      <c r="G53" s="23">
        <v>2.0299999999999999E-2</v>
      </c>
    </row>
    <row r="54" spans="1:7" x14ac:dyDescent="0.3">
      <c r="A54" s="21">
        <v>45926</v>
      </c>
      <c r="B54" s="6">
        <v>118.08</v>
      </c>
      <c r="C54" s="6">
        <v>121.35</v>
      </c>
      <c r="D54" s="6">
        <v>121.55</v>
      </c>
      <c r="E54" s="6">
        <v>117.5</v>
      </c>
      <c r="F54" s="6" t="s">
        <v>59</v>
      </c>
      <c r="G54" s="23">
        <v>-2.7699999999999999E-2</v>
      </c>
    </row>
    <row r="55" spans="1:7" x14ac:dyDescent="0.3">
      <c r="A55" s="21">
        <v>45925</v>
      </c>
      <c r="B55" s="6">
        <v>121.44</v>
      </c>
      <c r="C55" s="6">
        <v>122.9</v>
      </c>
      <c r="D55" s="6">
        <v>123.33</v>
      </c>
      <c r="E55" s="6">
        <v>121.21</v>
      </c>
      <c r="F55" s="6" t="s">
        <v>60</v>
      </c>
      <c r="G55" s="23">
        <v>-1.2E-2</v>
      </c>
    </row>
    <row r="56" spans="1:7" x14ac:dyDescent="0.3">
      <c r="A56" s="21">
        <v>45924</v>
      </c>
      <c r="B56" s="6">
        <v>122.91</v>
      </c>
      <c r="C56" s="6">
        <v>122.7</v>
      </c>
      <c r="D56" s="6">
        <v>124.55</v>
      </c>
      <c r="E56" s="6">
        <v>122.25</v>
      </c>
      <c r="F56" s="6" t="s">
        <v>61</v>
      </c>
      <c r="G56" s="23">
        <v>8.3000000000000001E-3</v>
      </c>
    </row>
    <row r="57" spans="1:7" x14ac:dyDescent="0.3">
      <c r="A57" s="21">
        <v>45923</v>
      </c>
      <c r="B57" s="6">
        <v>121.9</v>
      </c>
      <c r="C57" s="6">
        <v>118.77</v>
      </c>
      <c r="D57" s="6">
        <v>122.09</v>
      </c>
      <c r="E57" s="6">
        <v>116.93</v>
      </c>
      <c r="F57" s="6" t="s">
        <v>62</v>
      </c>
      <c r="G57" s="23">
        <v>2.5499999999999998E-2</v>
      </c>
    </row>
    <row r="58" spans="1:7" x14ac:dyDescent="0.3">
      <c r="A58" s="21">
        <v>45922</v>
      </c>
      <c r="B58" s="6">
        <v>118.87</v>
      </c>
      <c r="C58" s="6">
        <v>117.64</v>
      </c>
      <c r="D58" s="6">
        <v>119.72</v>
      </c>
      <c r="E58" s="6">
        <v>117.3</v>
      </c>
      <c r="F58" s="6" t="s">
        <v>63</v>
      </c>
      <c r="G58" s="23">
        <v>9.4000000000000004E-3</v>
      </c>
    </row>
    <row r="59" spans="1:7" x14ac:dyDescent="0.3">
      <c r="A59" s="21">
        <v>45919</v>
      </c>
      <c r="B59" s="6">
        <v>117.76</v>
      </c>
      <c r="C59" s="6">
        <v>115.7</v>
      </c>
      <c r="D59" s="6">
        <v>118.4</v>
      </c>
      <c r="E59" s="6">
        <v>115.55</v>
      </c>
      <c r="F59" s="6" t="s">
        <v>64</v>
      </c>
      <c r="G59" s="23">
        <v>2.0400000000000001E-2</v>
      </c>
    </row>
    <row r="60" spans="1:7" x14ac:dyDescent="0.3">
      <c r="A60" s="21">
        <v>45918</v>
      </c>
      <c r="B60" s="6">
        <v>115.41</v>
      </c>
      <c r="C60" s="6">
        <v>116.9</v>
      </c>
      <c r="D60" s="6">
        <v>117.7</v>
      </c>
      <c r="E60" s="6">
        <v>114.7</v>
      </c>
      <c r="F60" s="6" t="s">
        <v>65</v>
      </c>
      <c r="G60" s="23">
        <v>-7.1999999999999998E-3</v>
      </c>
    </row>
    <row r="61" spans="1:7" x14ac:dyDescent="0.3">
      <c r="A61" s="21">
        <v>45917</v>
      </c>
      <c r="B61" s="6">
        <v>116.25</v>
      </c>
      <c r="C61" s="6">
        <v>113.44</v>
      </c>
      <c r="D61" s="6">
        <v>116.39</v>
      </c>
      <c r="E61" s="6">
        <v>113.01</v>
      </c>
      <c r="F61" s="6" t="s">
        <v>66</v>
      </c>
      <c r="G61" s="23">
        <v>2.6700000000000002E-2</v>
      </c>
    </row>
    <row r="62" spans="1:7" x14ac:dyDescent="0.3">
      <c r="A62" s="21">
        <v>45916</v>
      </c>
      <c r="B62" s="6">
        <v>113.23</v>
      </c>
      <c r="C62" s="6">
        <v>113.45</v>
      </c>
      <c r="D62" s="6">
        <v>113.86</v>
      </c>
      <c r="E62" s="6">
        <v>112.51</v>
      </c>
      <c r="F62" s="6" t="s">
        <v>67</v>
      </c>
      <c r="G62" s="23">
        <v>6.4000000000000003E-3</v>
      </c>
    </row>
    <row r="63" spans="1:7" x14ac:dyDescent="0.3">
      <c r="A63" s="21">
        <v>45915</v>
      </c>
      <c r="B63" s="6">
        <v>112.51</v>
      </c>
      <c r="C63" s="6">
        <v>111.49</v>
      </c>
      <c r="D63" s="6">
        <v>113</v>
      </c>
      <c r="E63" s="6">
        <v>111.21</v>
      </c>
      <c r="F63" s="6" t="s">
        <v>68</v>
      </c>
      <c r="G63" s="23">
        <v>1.4E-2</v>
      </c>
    </row>
    <row r="64" spans="1:7" x14ac:dyDescent="0.3">
      <c r="A64" s="21">
        <v>45912</v>
      </c>
      <c r="B64" s="6">
        <v>110.96</v>
      </c>
      <c r="C64" s="6">
        <v>112.88</v>
      </c>
      <c r="D64" s="6">
        <v>112.89</v>
      </c>
      <c r="E64" s="6">
        <v>110.79</v>
      </c>
      <c r="F64" s="6" t="s">
        <v>69</v>
      </c>
      <c r="G64" s="23">
        <v>-9.9000000000000008E-3</v>
      </c>
    </row>
    <row r="65" spans="1:7" x14ac:dyDescent="0.3">
      <c r="A65" s="21">
        <v>45911</v>
      </c>
      <c r="B65" s="6">
        <v>112.07</v>
      </c>
      <c r="C65" s="6">
        <v>111.07</v>
      </c>
      <c r="D65" s="6">
        <v>113.4</v>
      </c>
      <c r="E65" s="6">
        <v>110.64</v>
      </c>
      <c r="F65" s="6" t="s">
        <v>70</v>
      </c>
      <c r="G65" s="23">
        <v>1.29E-2</v>
      </c>
    </row>
    <row r="66" spans="1:7" x14ac:dyDescent="0.3">
      <c r="A66" s="21">
        <v>45910</v>
      </c>
      <c r="B66" s="6">
        <v>110.64</v>
      </c>
      <c r="C66" s="6">
        <v>108.25</v>
      </c>
      <c r="D66" s="6">
        <v>111.25</v>
      </c>
      <c r="E66" s="6">
        <v>108.25</v>
      </c>
      <c r="F66" s="6" t="s">
        <v>71</v>
      </c>
      <c r="G66" s="23">
        <v>2.41E-2</v>
      </c>
    </row>
    <row r="67" spans="1:7" x14ac:dyDescent="0.3">
      <c r="A67" s="21">
        <v>45909</v>
      </c>
      <c r="B67" s="6">
        <v>108.04</v>
      </c>
      <c r="C67" s="6">
        <v>108.11</v>
      </c>
      <c r="D67" s="6">
        <v>108.8</v>
      </c>
      <c r="E67" s="6">
        <v>107.36</v>
      </c>
      <c r="F67" s="6" t="s">
        <v>72</v>
      </c>
      <c r="G67" s="23">
        <v>-5.9999999999999995E-4</v>
      </c>
    </row>
    <row r="68" spans="1:7" x14ac:dyDescent="0.3">
      <c r="A68" s="21">
        <v>45908</v>
      </c>
      <c r="B68" s="6">
        <v>108.11</v>
      </c>
      <c r="C68" s="6">
        <v>107.49</v>
      </c>
      <c r="D68" s="6">
        <v>108.65</v>
      </c>
      <c r="E68" s="6">
        <v>107.12</v>
      </c>
      <c r="F68" s="6" t="s">
        <v>73</v>
      </c>
      <c r="G68" s="23">
        <v>9.1000000000000004E-3</v>
      </c>
    </row>
    <row r="69" spans="1:7" x14ac:dyDescent="0.3">
      <c r="A69" s="21">
        <v>45905</v>
      </c>
      <c r="B69" s="6">
        <v>107.14</v>
      </c>
      <c r="C69" s="6">
        <v>106.3</v>
      </c>
      <c r="D69" s="6">
        <v>107.63</v>
      </c>
      <c r="E69" s="6">
        <v>105.61</v>
      </c>
      <c r="F69" s="6" t="s">
        <v>74</v>
      </c>
      <c r="G69" s="23">
        <v>0.01</v>
      </c>
    </row>
    <row r="70" spans="1:7" x14ac:dyDescent="0.3">
      <c r="A70" s="21">
        <v>45904</v>
      </c>
      <c r="B70" s="6">
        <v>106.08</v>
      </c>
      <c r="C70" s="6">
        <v>108.9</v>
      </c>
      <c r="D70" s="6">
        <v>109.2</v>
      </c>
      <c r="E70" s="6">
        <v>105.94</v>
      </c>
      <c r="F70" s="6" t="s">
        <v>75</v>
      </c>
      <c r="G70" s="23">
        <v>-2.0799999999999999E-2</v>
      </c>
    </row>
    <row r="71" spans="1:7" x14ac:dyDescent="0.3">
      <c r="A71" s="21">
        <v>45903</v>
      </c>
      <c r="B71" s="6">
        <v>108.33</v>
      </c>
      <c r="C71" s="6">
        <v>106.45</v>
      </c>
      <c r="D71" s="6">
        <v>108.48</v>
      </c>
      <c r="E71" s="6">
        <v>106.11</v>
      </c>
      <c r="F71" s="6" t="s">
        <v>76</v>
      </c>
      <c r="G71" s="23">
        <v>2.0400000000000001E-2</v>
      </c>
    </row>
    <row r="72" spans="1:7" x14ac:dyDescent="0.3">
      <c r="A72" s="21">
        <v>45902</v>
      </c>
      <c r="B72" s="6">
        <v>106.16</v>
      </c>
      <c r="C72" s="6">
        <v>105.4</v>
      </c>
      <c r="D72" s="6">
        <v>107</v>
      </c>
      <c r="E72" s="6">
        <v>104.75</v>
      </c>
      <c r="F72" s="6" t="s">
        <v>77</v>
      </c>
      <c r="G72" s="23">
        <v>9.7000000000000003E-3</v>
      </c>
    </row>
    <row r="73" spans="1:7" x14ac:dyDescent="0.3">
      <c r="A73" s="21">
        <v>45901</v>
      </c>
      <c r="B73" s="6">
        <v>105.14</v>
      </c>
      <c r="C73" s="6">
        <v>104</v>
      </c>
      <c r="D73" s="6">
        <v>105.26</v>
      </c>
      <c r="E73" s="6">
        <v>104</v>
      </c>
      <c r="F73" s="6" t="s">
        <v>78</v>
      </c>
      <c r="G73" s="23">
        <v>1.26E-2</v>
      </c>
    </row>
    <row r="74" spans="1:7" x14ac:dyDescent="0.3">
      <c r="A74" s="21">
        <v>45898</v>
      </c>
      <c r="B74" s="6">
        <v>103.83</v>
      </c>
      <c r="C74" s="6">
        <v>104.44</v>
      </c>
      <c r="D74" s="6">
        <v>105.18</v>
      </c>
      <c r="E74" s="6">
        <v>103.55</v>
      </c>
      <c r="F74" s="6" t="s">
        <v>79</v>
      </c>
      <c r="G74" s="23">
        <v>-7.6E-3</v>
      </c>
    </row>
    <row r="75" spans="1:7" x14ac:dyDescent="0.3">
      <c r="A75" s="21">
        <v>45897</v>
      </c>
      <c r="B75" s="6">
        <v>104.63</v>
      </c>
      <c r="C75" s="6">
        <v>106.05</v>
      </c>
      <c r="D75" s="6">
        <v>106.49</v>
      </c>
      <c r="E75" s="6">
        <v>104.5</v>
      </c>
      <c r="F75" s="6" t="s">
        <v>7</v>
      </c>
      <c r="G75" s="23">
        <v>-1.2999999999999999E-2</v>
      </c>
    </row>
    <row r="76" spans="1:7" x14ac:dyDescent="0.3">
      <c r="A76" s="21">
        <v>45895</v>
      </c>
      <c r="B76" s="6">
        <v>106.01</v>
      </c>
      <c r="C76" s="6">
        <v>108.82</v>
      </c>
      <c r="D76" s="6">
        <v>109.06</v>
      </c>
      <c r="E76" s="6">
        <v>105.83</v>
      </c>
      <c r="F76" s="6" t="s">
        <v>80</v>
      </c>
      <c r="G76" s="23">
        <v>-2.58E-2</v>
      </c>
    </row>
    <row r="77" spans="1:7" x14ac:dyDescent="0.3">
      <c r="A77" s="21">
        <v>45894</v>
      </c>
      <c r="B77" s="6">
        <v>108.82</v>
      </c>
      <c r="C77" s="6">
        <v>110</v>
      </c>
      <c r="D77" s="6">
        <v>110.98</v>
      </c>
      <c r="E77" s="6">
        <v>108.51</v>
      </c>
      <c r="F77" s="6" t="s">
        <v>81</v>
      </c>
      <c r="G77" s="23">
        <v>-1.01E-2</v>
      </c>
    </row>
    <row r="78" spans="1:7" x14ac:dyDescent="0.3">
      <c r="A78" s="21">
        <v>45891</v>
      </c>
      <c r="B78" s="6">
        <v>109.93</v>
      </c>
      <c r="C78" s="6">
        <v>111.06</v>
      </c>
      <c r="D78" s="6">
        <v>111.78</v>
      </c>
      <c r="E78" s="6">
        <v>109.8</v>
      </c>
      <c r="F78" s="6" t="s">
        <v>82</v>
      </c>
      <c r="G78" s="23">
        <v>-1.03E-2</v>
      </c>
    </row>
    <row r="79" spans="1:7" x14ac:dyDescent="0.3">
      <c r="A79" s="21">
        <v>45890</v>
      </c>
      <c r="B79" s="6">
        <v>111.07</v>
      </c>
      <c r="C79" s="6">
        <v>112.7</v>
      </c>
      <c r="D79" s="6">
        <v>113</v>
      </c>
      <c r="E79" s="6">
        <v>110.98</v>
      </c>
      <c r="F79" s="6" t="s">
        <v>83</v>
      </c>
      <c r="G79" s="23">
        <v>-1.0800000000000001E-2</v>
      </c>
    </row>
    <row r="80" spans="1:7" x14ac:dyDescent="0.3">
      <c r="A80" s="21">
        <v>45889</v>
      </c>
      <c r="B80" s="6">
        <v>112.28</v>
      </c>
      <c r="C80" s="6">
        <v>112</v>
      </c>
      <c r="D80" s="6">
        <v>112.71</v>
      </c>
      <c r="E80" s="6">
        <v>111.7</v>
      </c>
      <c r="F80" s="6" t="s">
        <v>84</v>
      </c>
      <c r="G80" s="23">
        <v>5.4999999999999997E-3</v>
      </c>
    </row>
    <row r="81" spans="1:7" x14ac:dyDescent="0.3">
      <c r="A81" s="21">
        <v>45888</v>
      </c>
      <c r="B81" s="6">
        <v>111.67</v>
      </c>
      <c r="C81" s="6">
        <v>109.5</v>
      </c>
      <c r="D81" s="6">
        <v>111.9</v>
      </c>
      <c r="E81" s="6">
        <v>109.05</v>
      </c>
      <c r="F81" s="6" t="s">
        <v>85</v>
      </c>
      <c r="G81" s="23">
        <v>2.1299999999999999E-2</v>
      </c>
    </row>
    <row r="82" spans="1:7" x14ac:dyDescent="0.3">
      <c r="A82" s="21">
        <v>45887</v>
      </c>
      <c r="B82" s="6">
        <v>109.34</v>
      </c>
      <c r="C82" s="6">
        <v>110</v>
      </c>
      <c r="D82" s="6">
        <v>110.42</v>
      </c>
      <c r="E82" s="6">
        <v>108.9</v>
      </c>
      <c r="F82" s="6" t="s">
        <v>86</v>
      </c>
      <c r="G82" s="23">
        <v>6.9999999999999999E-4</v>
      </c>
    </row>
    <row r="83" spans="1:7" x14ac:dyDescent="0.3">
      <c r="A83" s="21">
        <v>45883</v>
      </c>
      <c r="B83" s="6">
        <v>109.26</v>
      </c>
      <c r="C83" s="6">
        <v>109.5</v>
      </c>
      <c r="D83" s="6">
        <v>109.88</v>
      </c>
      <c r="E83" s="6">
        <v>108.63</v>
      </c>
      <c r="F83" s="6" t="s">
        <v>87</v>
      </c>
      <c r="G83" s="23">
        <v>2.5000000000000001E-3</v>
      </c>
    </row>
    <row r="84" spans="1:7" x14ac:dyDescent="0.3">
      <c r="A84" s="21">
        <v>45882</v>
      </c>
      <c r="B84" s="6">
        <v>108.99</v>
      </c>
      <c r="C84" s="6">
        <v>109.8</v>
      </c>
      <c r="D84" s="6">
        <v>110.49</v>
      </c>
      <c r="E84" s="6">
        <v>108.55</v>
      </c>
      <c r="F84" s="6" t="s">
        <v>88</v>
      </c>
      <c r="G84" s="23">
        <v>-5.1000000000000004E-3</v>
      </c>
    </row>
    <row r="85" spans="1:7" x14ac:dyDescent="0.3">
      <c r="A85" s="21">
        <v>45881</v>
      </c>
      <c r="B85" s="6">
        <v>109.55</v>
      </c>
      <c r="C85" s="6">
        <v>109.69</v>
      </c>
      <c r="D85" s="6">
        <v>110.25</v>
      </c>
      <c r="E85" s="6">
        <v>109.04</v>
      </c>
      <c r="F85" s="6" t="s">
        <v>89</v>
      </c>
      <c r="G85" s="23">
        <v>5.9999999999999995E-4</v>
      </c>
    </row>
    <row r="86" spans="1:7" x14ac:dyDescent="0.3">
      <c r="A86" s="21">
        <v>45880</v>
      </c>
      <c r="B86" s="6">
        <v>109.48</v>
      </c>
      <c r="C86" s="6">
        <v>107.8</v>
      </c>
      <c r="D86" s="6">
        <v>109.89</v>
      </c>
      <c r="E86" s="6">
        <v>107.3</v>
      </c>
      <c r="F86" s="6" t="s">
        <v>90</v>
      </c>
      <c r="G86" s="23">
        <v>1.47E-2</v>
      </c>
    </row>
    <row r="87" spans="1:7" x14ac:dyDescent="0.3">
      <c r="A87" s="21">
        <v>45877</v>
      </c>
      <c r="B87" s="6">
        <v>107.89</v>
      </c>
      <c r="C87" s="6">
        <v>108.8</v>
      </c>
      <c r="D87" s="6">
        <v>109.02</v>
      </c>
      <c r="E87" s="6">
        <v>107.54</v>
      </c>
      <c r="F87" s="6" t="s">
        <v>91</v>
      </c>
      <c r="G87" s="23">
        <v>-8.3999999999999995E-3</v>
      </c>
    </row>
    <row r="88" spans="1:7" x14ac:dyDescent="0.3">
      <c r="A88" s="21">
        <v>45876</v>
      </c>
      <c r="B88" s="6">
        <v>108.8</v>
      </c>
      <c r="C88" s="6">
        <v>108.5</v>
      </c>
      <c r="D88" s="6">
        <v>109.19</v>
      </c>
      <c r="E88" s="6">
        <v>106.75</v>
      </c>
      <c r="F88" s="6" t="s">
        <v>76</v>
      </c>
      <c r="G88" s="23">
        <v>2.9999999999999997E-4</v>
      </c>
    </row>
    <row r="89" spans="1:7" x14ac:dyDescent="0.3">
      <c r="A89" s="21">
        <v>45875</v>
      </c>
      <c r="B89" s="6">
        <v>108.77</v>
      </c>
      <c r="C89" s="6">
        <v>107.99</v>
      </c>
      <c r="D89" s="6">
        <v>110</v>
      </c>
      <c r="E89" s="6">
        <v>106.11</v>
      </c>
      <c r="F89" s="6" t="s">
        <v>92</v>
      </c>
      <c r="G89" s="23">
        <v>1.2200000000000001E-2</v>
      </c>
    </row>
    <row r="90" spans="1:7" x14ac:dyDescent="0.3">
      <c r="A90" s="21">
        <v>45874</v>
      </c>
      <c r="B90" s="6">
        <v>107.46</v>
      </c>
      <c r="C90" s="6">
        <v>107.75</v>
      </c>
      <c r="D90" s="6">
        <v>108.3</v>
      </c>
      <c r="E90" s="6">
        <v>106.9</v>
      </c>
      <c r="F90" s="6" t="s">
        <v>93</v>
      </c>
      <c r="G90" s="23">
        <v>-2.7000000000000001E-3</v>
      </c>
    </row>
    <row r="91" spans="1:7" x14ac:dyDescent="0.3">
      <c r="A91" s="21">
        <v>45873</v>
      </c>
      <c r="B91" s="6">
        <v>107.75</v>
      </c>
      <c r="C91" s="6">
        <v>106</v>
      </c>
      <c r="D91" s="6">
        <v>107.94</v>
      </c>
      <c r="E91" s="6">
        <v>106</v>
      </c>
      <c r="F91" s="6" t="s">
        <v>94</v>
      </c>
      <c r="G91" s="23">
        <v>1.7600000000000001E-2</v>
      </c>
    </row>
    <row r="92" spans="1:7" x14ac:dyDescent="0.3">
      <c r="A92" s="21">
        <v>45870</v>
      </c>
      <c r="B92" s="6">
        <v>105.89</v>
      </c>
      <c r="C92" s="6">
        <v>107.25</v>
      </c>
      <c r="D92" s="6">
        <v>107.4</v>
      </c>
      <c r="E92" s="6">
        <v>105.75</v>
      </c>
      <c r="F92" s="6" t="s">
        <v>95</v>
      </c>
      <c r="G92" s="23">
        <v>-1.2699999999999999E-2</v>
      </c>
    </row>
    <row r="93" spans="1:7" x14ac:dyDescent="0.3">
      <c r="A93" s="21">
        <v>45869</v>
      </c>
      <c r="B93" s="6">
        <v>107.25</v>
      </c>
      <c r="C93" s="6">
        <v>107.05</v>
      </c>
      <c r="D93" s="6">
        <v>108.36</v>
      </c>
      <c r="E93" s="6">
        <v>106.1</v>
      </c>
      <c r="F93" s="6" t="s">
        <v>96</v>
      </c>
      <c r="G93" s="23">
        <v>-8.8000000000000005E-3</v>
      </c>
    </row>
    <row r="94" spans="1:7" x14ac:dyDescent="0.3">
      <c r="A94" s="21">
        <v>45868</v>
      </c>
      <c r="B94" s="6">
        <v>108.2</v>
      </c>
      <c r="C94" s="6">
        <v>110.46</v>
      </c>
      <c r="D94" s="6">
        <v>110.54</v>
      </c>
      <c r="E94" s="6">
        <v>108.1</v>
      </c>
      <c r="F94" s="6" t="s">
        <v>97</v>
      </c>
      <c r="G94" s="23">
        <v>-1.72E-2</v>
      </c>
    </row>
    <row r="95" spans="1:7" x14ac:dyDescent="0.3">
      <c r="A95" s="21">
        <v>45867</v>
      </c>
      <c r="B95" s="6">
        <v>110.09</v>
      </c>
      <c r="C95" s="6">
        <v>110.01</v>
      </c>
      <c r="D95" s="6">
        <v>111.39</v>
      </c>
      <c r="E95" s="6">
        <v>109.53</v>
      </c>
      <c r="F95" s="6" t="s">
        <v>98</v>
      </c>
      <c r="G95" s="23">
        <v>-2.8999999999999998E-3</v>
      </c>
    </row>
    <row r="96" spans="1:7" x14ac:dyDescent="0.3">
      <c r="A96" s="21">
        <v>45866</v>
      </c>
      <c r="B96" s="6">
        <v>110.41</v>
      </c>
      <c r="C96" s="6">
        <v>110.7</v>
      </c>
      <c r="D96" s="6">
        <v>112.84</v>
      </c>
      <c r="E96" s="6">
        <v>109.89</v>
      </c>
      <c r="F96" s="6" t="s">
        <v>99</v>
      </c>
      <c r="G96" s="23">
        <v>-3.2000000000000002E-3</v>
      </c>
    </row>
    <row r="97" spans="1:7" x14ac:dyDescent="0.3">
      <c r="A97" s="21">
        <v>45863</v>
      </c>
      <c r="B97" s="6">
        <v>110.76</v>
      </c>
      <c r="C97" s="6">
        <v>113.86</v>
      </c>
      <c r="D97" s="6">
        <v>115.7</v>
      </c>
      <c r="E97" s="6">
        <v>110.5</v>
      </c>
      <c r="F97" s="6" t="s">
        <v>100</v>
      </c>
      <c r="G97" s="23">
        <v>-2.4199999999999999E-2</v>
      </c>
    </row>
    <row r="98" spans="1:7" x14ac:dyDescent="0.3">
      <c r="A98" s="21">
        <v>45862</v>
      </c>
      <c r="B98" s="6">
        <v>113.51</v>
      </c>
      <c r="C98" s="6">
        <v>108.5</v>
      </c>
      <c r="D98" s="6">
        <v>113.99</v>
      </c>
      <c r="E98" s="6">
        <v>107.2</v>
      </c>
      <c r="F98" s="6" t="s">
        <v>101</v>
      </c>
      <c r="G98" s="23">
        <v>5.2999999999999999E-2</v>
      </c>
    </row>
    <row r="99" spans="1:7" x14ac:dyDescent="0.3">
      <c r="A99" s="21">
        <v>45861</v>
      </c>
      <c r="B99" s="6">
        <v>107.8</v>
      </c>
      <c r="C99" s="6">
        <v>108.05</v>
      </c>
      <c r="D99" s="6">
        <v>108.33</v>
      </c>
      <c r="E99" s="6">
        <v>106.3</v>
      </c>
      <c r="F99" s="6" t="s">
        <v>102</v>
      </c>
      <c r="G99" s="23">
        <v>-2.3E-3</v>
      </c>
    </row>
    <row r="100" spans="1:7" x14ac:dyDescent="0.3">
      <c r="A100" s="21">
        <v>45860</v>
      </c>
      <c r="B100" s="6">
        <v>108.05</v>
      </c>
      <c r="C100" s="6">
        <v>112.69</v>
      </c>
      <c r="D100" s="6">
        <v>112.7</v>
      </c>
      <c r="E100" s="6">
        <v>107.71</v>
      </c>
      <c r="F100" s="6" t="s">
        <v>103</v>
      </c>
      <c r="G100" s="23">
        <v>-3.5499999999999997E-2</v>
      </c>
    </row>
    <row r="101" spans="1:7" x14ac:dyDescent="0.3">
      <c r="A101" s="21">
        <v>45859</v>
      </c>
      <c r="B101" s="6">
        <v>112.03</v>
      </c>
      <c r="C101" s="6">
        <v>114.67</v>
      </c>
      <c r="D101" s="6">
        <v>114.7</v>
      </c>
      <c r="E101" s="6">
        <v>111.4</v>
      </c>
      <c r="F101" s="6" t="s">
        <v>104</v>
      </c>
      <c r="G101" s="23">
        <v>-2.1100000000000001E-2</v>
      </c>
    </row>
    <row r="102" spans="1:7" x14ac:dyDescent="0.3">
      <c r="A102" s="21">
        <v>45856</v>
      </c>
      <c r="B102" s="6">
        <v>114.45</v>
      </c>
      <c r="C102" s="6">
        <v>115.5</v>
      </c>
      <c r="D102" s="6">
        <v>116.1</v>
      </c>
      <c r="E102" s="6">
        <v>114.25</v>
      </c>
      <c r="F102" s="6" t="s">
        <v>105</v>
      </c>
      <c r="G102" s="23">
        <v>-9.2999999999999992E-3</v>
      </c>
    </row>
    <row r="103" spans="1:7" x14ac:dyDescent="0.3">
      <c r="A103" s="21">
        <v>45855</v>
      </c>
      <c r="B103" s="6">
        <v>115.53</v>
      </c>
      <c r="C103" s="6">
        <v>117.5</v>
      </c>
      <c r="D103" s="6">
        <v>117.5</v>
      </c>
      <c r="E103" s="6">
        <v>114.91</v>
      </c>
      <c r="F103" s="6" t="s">
        <v>106</v>
      </c>
      <c r="G103" s="23">
        <v>-1.2800000000000001E-2</v>
      </c>
    </row>
    <row r="104" spans="1:7" x14ac:dyDescent="0.3">
      <c r="A104" s="21">
        <v>45854</v>
      </c>
      <c r="B104" s="6">
        <v>117.03</v>
      </c>
      <c r="C104" s="6">
        <v>114.85</v>
      </c>
      <c r="D104" s="6">
        <v>117.35</v>
      </c>
      <c r="E104" s="6">
        <v>114.61</v>
      </c>
      <c r="F104" s="6" t="s">
        <v>107</v>
      </c>
      <c r="G104" s="23">
        <v>1.8800000000000001E-2</v>
      </c>
    </row>
    <row r="105" spans="1:7" x14ac:dyDescent="0.3">
      <c r="A105" s="21">
        <v>45853</v>
      </c>
      <c r="B105" s="6">
        <v>114.87</v>
      </c>
      <c r="C105" s="6">
        <v>113.79</v>
      </c>
      <c r="D105" s="6">
        <v>115.8</v>
      </c>
      <c r="E105" s="6">
        <v>113.63</v>
      </c>
      <c r="F105" s="6" t="s">
        <v>108</v>
      </c>
      <c r="G105" s="23">
        <v>1.06E-2</v>
      </c>
    </row>
    <row r="106" spans="1:7" x14ac:dyDescent="0.3">
      <c r="A106" s="21">
        <v>45852</v>
      </c>
      <c r="B106" s="6">
        <v>113.67</v>
      </c>
      <c r="C106" s="6">
        <v>111.99</v>
      </c>
      <c r="D106" s="6">
        <v>115.3</v>
      </c>
      <c r="E106" s="6">
        <v>111.9</v>
      </c>
      <c r="F106" s="6" t="s">
        <v>109</v>
      </c>
      <c r="G106" s="23">
        <v>1.5599999999999999E-2</v>
      </c>
    </row>
    <row r="107" spans="1:7" x14ac:dyDescent="0.3">
      <c r="A107" s="21">
        <v>45849</v>
      </c>
      <c r="B107" s="6">
        <v>111.92</v>
      </c>
      <c r="C107" s="6">
        <v>112.38</v>
      </c>
      <c r="D107" s="6">
        <v>113.49</v>
      </c>
      <c r="E107" s="6">
        <v>111.21</v>
      </c>
      <c r="F107" s="6" t="s">
        <v>110</v>
      </c>
      <c r="G107" s="23">
        <v>-4.1999999999999997E-3</v>
      </c>
    </row>
    <row r="108" spans="1:7" x14ac:dyDescent="0.3">
      <c r="A108" s="21">
        <v>45848</v>
      </c>
      <c r="B108" s="6">
        <v>112.39</v>
      </c>
      <c r="C108" s="6">
        <v>113.95</v>
      </c>
      <c r="D108" s="6">
        <v>114.5</v>
      </c>
      <c r="E108" s="6">
        <v>111.7</v>
      </c>
      <c r="F108" s="6" t="s">
        <v>111</v>
      </c>
      <c r="G108" s="23">
        <v>-1.38E-2</v>
      </c>
    </row>
    <row r="109" spans="1:7" x14ac:dyDescent="0.3">
      <c r="A109" s="21">
        <v>45847</v>
      </c>
      <c r="B109" s="6">
        <v>113.96</v>
      </c>
      <c r="C109" s="6">
        <v>113.6</v>
      </c>
      <c r="D109" s="6">
        <v>114.45</v>
      </c>
      <c r="E109" s="6">
        <v>113.4</v>
      </c>
      <c r="F109" s="6" t="s">
        <v>112</v>
      </c>
      <c r="G109" s="23">
        <v>1.9E-3</v>
      </c>
    </row>
    <row r="110" spans="1:7" x14ac:dyDescent="0.3">
      <c r="A110" s="21">
        <v>45846</v>
      </c>
      <c r="B110" s="6">
        <v>113.74</v>
      </c>
      <c r="C110" s="6">
        <v>114.31</v>
      </c>
      <c r="D110" s="6">
        <v>114.5</v>
      </c>
      <c r="E110" s="6">
        <v>112.89</v>
      </c>
      <c r="F110" s="6" t="s">
        <v>113</v>
      </c>
      <c r="G110" s="23">
        <v>-5.0000000000000001E-3</v>
      </c>
    </row>
    <row r="111" spans="1:7" x14ac:dyDescent="0.3">
      <c r="A111" s="21">
        <v>45845</v>
      </c>
      <c r="B111" s="6">
        <v>114.31</v>
      </c>
      <c r="C111" s="6">
        <v>114.37</v>
      </c>
      <c r="D111" s="6">
        <v>115.8</v>
      </c>
      <c r="E111" s="6">
        <v>114.1</v>
      </c>
      <c r="F111" s="6" t="s">
        <v>114</v>
      </c>
      <c r="G111" s="23">
        <v>-5.0000000000000001E-4</v>
      </c>
    </row>
    <row r="112" spans="1:7" x14ac:dyDescent="0.3">
      <c r="A112" s="21">
        <v>45842</v>
      </c>
      <c r="B112" s="6">
        <v>114.37</v>
      </c>
      <c r="C112" s="6">
        <v>113.56</v>
      </c>
      <c r="D112" s="6">
        <v>115.1</v>
      </c>
      <c r="E112" s="6">
        <v>113.56</v>
      </c>
      <c r="F112" s="6" t="s">
        <v>115</v>
      </c>
      <c r="G112" s="23">
        <v>1.8E-3</v>
      </c>
    </row>
    <row r="113" spans="1:7" x14ac:dyDescent="0.3">
      <c r="A113" s="21">
        <v>45841</v>
      </c>
      <c r="B113" s="6">
        <v>114.16</v>
      </c>
      <c r="C113" s="6">
        <v>114.8</v>
      </c>
      <c r="D113" s="6">
        <v>115</v>
      </c>
      <c r="E113" s="6">
        <v>113.65</v>
      </c>
      <c r="F113" s="6" t="s">
        <v>116</v>
      </c>
      <c r="G113" s="23">
        <v>-5.9999999999999995E-4</v>
      </c>
    </row>
    <row r="114" spans="1:7" x14ac:dyDescent="0.3">
      <c r="A114" s="21">
        <v>45840</v>
      </c>
      <c r="B114" s="6">
        <v>114.23</v>
      </c>
      <c r="C114" s="6">
        <v>114.7</v>
      </c>
      <c r="D114" s="6">
        <v>115.86</v>
      </c>
      <c r="E114" s="6">
        <v>113.42</v>
      </c>
      <c r="F114" s="6" t="s">
        <v>117</v>
      </c>
      <c r="G114" s="23">
        <v>-1.03E-2</v>
      </c>
    </row>
    <row r="115" spans="1:7" x14ac:dyDescent="0.3">
      <c r="A115" s="21">
        <v>45839</v>
      </c>
      <c r="B115" s="6">
        <v>115.42</v>
      </c>
      <c r="C115" s="6">
        <v>114.45</v>
      </c>
      <c r="D115" s="6">
        <v>116</v>
      </c>
      <c r="E115" s="6">
        <v>112.62</v>
      </c>
      <c r="F115" s="6" t="s">
        <v>19</v>
      </c>
      <c r="G115" s="23">
        <v>1.0699999999999999E-2</v>
      </c>
    </row>
    <row r="116" spans="1:7" x14ac:dyDescent="0.3">
      <c r="A116" s="21">
        <v>45838</v>
      </c>
      <c r="B116" s="6">
        <v>114.2</v>
      </c>
      <c r="C116" s="6">
        <v>111.56</v>
      </c>
      <c r="D116" s="6">
        <v>114.61</v>
      </c>
      <c r="E116" s="6">
        <v>111.47</v>
      </c>
      <c r="F116" s="6" t="s">
        <v>118</v>
      </c>
      <c r="G116" s="23">
        <v>2.9000000000000001E-2</v>
      </c>
    </row>
    <row r="117" spans="1:7" x14ac:dyDescent="0.3">
      <c r="A117" s="21">
        <v>45835</v>
      </c>
      <c r="B117" s="6">
        <v>110.98</v>
      </c>
      <c r="C117" s="6">
        <v>111.49</v>
      </c>
      <c r="D117" s="6">
        <v>113</v>
      </c>
      <c r="E117" s="6">
        <v>110.67</v>
      </c>
      <c r="F117" s="6" t="s">
        <v>119</v>
      </c>
      <c r="G117" s="23">
        <v>-8.0000000000000004E-4</v>
      </c>
    </row>
    <row r="118" spans="1:7" x14ac:dyDescent="0.3">
      <c r="A118" s="21">
        <v>45834</v>
      </c>
      <c r="B118" s="6">
        <v>111.07</v>
      </c>
      <c r="C118" s="6">
        <v>110.95</v>
      </c>
      <c r="D118" s="6">
        <v>111.45</v>
      </c>
      <c r="E118" s="6">
        <v>108.7</v>
      </c>
      <c r="F118" s="6" t="s">
        <v>120</v>
      </c>
      <c r="G118" s="23">
        <v>3.3E-3</v>
      </c>
    </row>
    <row r="119" spans="1:7" x14ac:dyDescent="0.3">
      <c r="A119" s="21">
        <v>45833</v>
      </c>
      <c r="B119" s="6">
        <v>110.71</v>
      </c>
      <c r="C119" s="6">
        <v>110.85</v>
      </c>
      <c r="D119" s="6">
        <v>111.5</v>
      </c>
      <c r="E119" s="6">
        <v>110.35</v>
      </c>
      <c r="F119" s="6" t="s">
        <v>121</v>
      </c>
      <c r="G119" s="23">
        <v>8.9999999999999998E-4</v>
      </c>
    </row>
    <row r="120" spans="1:7" x14ac:dyDescent="0.3">
      <c r="A120" s="21">
        <v>45832</v>
      </c>
      <c r="B120" s="6">
        <v>110.61</v>
      </c>
      <c r="C120" s="6">
        <v>109.6</v>
      </c>
      <c r="D120" s="6">
        <v>111.44</v>
      </c>
      <c r="E120" s="6">
        <v>109.31</v>
      </c>
      <c r="F120" s="6" t="s">
        <v>122</v>
      </c>
      <c r="G120" s="23">
        <v>2.5899999999999999E-2</v>
      </c>
    </row>
    <row r="121" spans="1:7" x14ac:dyDescent="0.3">
      <c r="A121" s="21">
        <v>45831</v>
      </c>
      <c r="B121" s="6">
        <v>107.82</v>
      </c>
      <c r="C121" s="6">
        <v>106</v>
      </c>
      <c r="D121" s="6">
        <v>108.33</v>
      </c>
      <c r="E121" s="6">
        <v>105.98</v>
      </c>
      <c r="F121" s="6" t="s">
        <v>123</v>
      </c>
      <c r="G121" s="23">
        <v>5.5999999999999999E-3</v>
      </c>
    </row>
    <row r="122" spans="1:7" x14ac:dyDescent="0.3">
      <c r="A122" s="21">
        <v>45828</v>
      </c>
      <c r="B122" s="6">
        <v>107.22</v>
      </c>
      <c r="C122" s="6">
        <v>104.89</v>
      </c>
      <c r="D122" s="6">
        <v>108.19</v>
      </c>
      <c r="E122" s="6">
        <v>104.85</v>
      </c>
      <c r="F122" s="6" t="s">
        <v>124</v>
      </c>
      <c r="G122" s="23">
        <v>2.2200000000000001E-2</v>
      </c>
    </row>
    <row r="123" spans="1:7" x14ac:dyDescent="0.3">
      <c r="A123" s="21">
        <v>45827</v>
      </c>
      <c r="B123" s="6">
        <v>104.89</v>
      </c>
      <c r="C123" s="6">
        <v>108.2</v>
      </c>
      <c r="D123" s="6">
        <v>108.5</v>
      </c>
      <c r="E123" s="6">
        <v>104.6</v>
      </c>
      <c r="F123" s="6" t="s">
        <v>125</v>
      </c>
      <c r="G123" s="23">
        <v>-3.0800000000000001E-2</v>
      </c>
    </row>
    <row r="124" spans="1:7" x14ac:dyDescent="0.3">
      <c r="A124" s="21">
        <v>45826</v>
      </c>
      <c r="B124" s="6">
        <v>108.22</v>
      </c>
      <c r="C124" s="6">
        <v>109.23</v>
      </c>
      <c r="D124" s="6">
        <v>109.85</v>
      </c>
      <c r="E124" s="6">
        <v>107.94</v>
      </c>
      <c r="F124" s="6" t="s">
        <v>126</v>
      </c>
      <c r="G124" s="23">
        <v>-9.1999999999999998E-3</v>
      </c>
    </row>
    <row r="125" spans="1:7" x14ac:dyDescent="0.3">
      <c r="A125" s="21">
        <v>45825</v>
      </c>
      <c r="B125" s="6">
        <v>109.23</v>
      </c>
      <c r="C125" s="6">
        <v>111.3</v>
      </c>
      <c r="D125" s="6">
        <v>112.1</v>
      </c>
      <c r="E125" s="6">
        <v>109</v>
      </c>
      <c r="F125" s="6" t="s">
        <v>127</v>
      </c>
      <c r="G125" s="23">
        <v>-1.8100000000000002E-2</v>
      </c>
    </row>
    <row r="126" spans="1:7" x14ac:dyDescent="0.3">
      <c r="A126" s="21">
        <v>45824</v>
      </c>
      <c r="B126" s="6">
        <v>111.24</v>
      </c>
      <c r="C126" s="6">
        <v>110.45</v>
      </c>
      <c r="D126" s="6">
        <v>111.75</v>
      </c>
      <c r="E126" s="6">
        <v>109.5</v>
      </c>
      <c r="F126" s="6" t="s">
        <v>128</v>
      </c>
      <c r="G126" s="23">
        <v>-2E-3</v>
      </c>
    </row>
    <row r="127" spans="1:7" x14ac:dyDescent="0.3">
      <c r="A127" s="21">
        <v>45821</v>
      </c>
      <c r="B127" s="6">
        <v>111.46</v>
      </c>
      <c r="C127" s="6">
        <v>108.49</v>
      </c>
      <c r="D127" s="6">
        <v>111.77</v>
      </c>
      <c r="E127" s="6">
        <v>107.52</v>
      </c>
      <c r="F127" s="6" t="s">
        <v>129</v>
      </c>
      <c r="G127" s="23">
        <v>-3.61E-2</v>
      </c>
    </row>
    <row r="128" spans="1:7" x14ac:dyDescent="0.3">
      <c r="A128" s="21">
        <v>45820</v>
      </c>
      <c r="B128" s="6">
        <v>115.64</v>
      </c>
      <c r="C128" s="6">
        <v>117.7</v>
      </c>
      <c r="D128" s="6">
        <v>117.79</v>
      </c>
      <c r="E128" s="6">
        <v>115.1</v>
      </c>
      <c r="F128" s="6" t="s">
        <v>130</v>
      </c>
      <c r="G128" s="23">
        <v>-1.24E-2</v>
      </c>
    </row>
    <row r="129" spans="1:7" x14ac:dyDescent="0.3">
      <c r="A129" s="21">
        <v>45819</v>
      </c>
      <c r="B129" s="6">
        <v>117.09</v>
      </c>
      <c r="C129" s="6">
        <v>119</v>
      </c>
      <c r="D129" s="6">
        <v>119</v>
      </c>
      <c r="E129" s="6">
        <v>115.8</v>
      </c>
      <c r="F129" s="6" t="s">
        <v>131</v>
      </c>
      <c r="G129" s="23">
        <v>-5.7000000000000002E-3</v>
      </c>
    </row>
    <row r="130" spans="1:7" x14ac:dyDescent="0.3">
      <c r="A130" s="21">
        <v>45818</v>
      </c>
      <c r="B130" s="6">
        <v>117.76</v>
      </c>
      <c r="C130" s="6">
        <v>118.4</v>
      </c>
      <c r="D130" s="6">
        <v>118.45</v>
      </c>
      <c r="E130" s="6">
        <v>117.15</v>
      </c>
      <c r="F130" s="6" t="s">
        <v>132</v>
      </c>
      <c r="G130" s="23">
        <v>5.9999999999999995E-4</v>
      </c>
    </row>
    <row r="131" spans="1:7" x14ac:dyDescent="0.3">
      <c r="A131" s="21">
        <v>45817</v>
      </c>
      <c r="B131" s="6">
        <v>117.69</v>
      </c>
      <c r="C131" s="6">
        <v>116.9</v>
      </c>
      <c r="D131" s="6">
        <v>119.3</v>
      </c>
      <c r="E131" s="6">
        <v>116.55</v>
      </c>
      <c r="F131" s="6" t="s">
        <v>133</v>
      </c>
      <c r="G131" s="23">
        <v>1.7100000000000001E-2</v>
      </c>
    </row>
    <row r="132" spans="1:7" x14ac:dyDescent="0.3">
      <c r="A132" s="21">
        <v>45814</v>
      </c>
      <c r="B132" s="6">
        <v>115.71</v>
      </c>
      <c r="C132" s="6">
        <v>116.88</v>
      </c>
      <c r="D132" s="6">
        <v>118.1</v>
      </c>
      <c r="E132" s="6">
        <v>114.05</v>
      </c>
      <c r="F132" s="6" t="s">
        <v>134</v>
      </c>
      <c r="G132" s="23">
        <v>-5.7999999999999996E-3</v>
      </c>
    </row>
    <row r="133" spans="1:7" x14ac:dyDescent="0.3">
      <c r="A133" s="21">
        <v>45813</v>
      </c>
      <c r="B133" s="6">
        <v>116.38</v>
      </c>
      <c r="C133" s="6">
        <v>117</v>
      </c>
      <c r="D133" s="6">
        <v>117.65</v>
      </c>
      <c r="E133" s="6">
        <v>116.05</v>
      </c>
      <c r="F133" s="6" t="s">
        <v>135</v>
      </c>
      <c r="G133" s="23">
        <v>-8.0000000000000002E-3</v>
      </c>
    </row>
    <row r="134" spans="1:7" x14ac:dyDescent="0.3">
      <c r="A134" s="21">
        <v>45812</v>
      </c>
      <c r="B134" s="6">
        <v>117.32</v>
      </c>
      <c r="C134" s="6">
        <v>116.25</v>
      </c>
      <c r="D134" s="6">
        <v>117.74</v>
      </c>
      <c r="E134" s="6">
        <v>114.83</v>
      </c>
      <c r="F134" s="6" t="s">
        <v>136</v>
      </c>
      <c r="G134" s="23">
        <v>1.2200000000000001E-2</v>
      </c>
    </row>
    <row r="135" spans="1:7" x14ac:dyDescent="0.3">
      <c r="A135" s="21">
        <v>45811</v>
      </c>
      <c r="B135" s="6">
        <v>115.91</v>
      </c>
      <c r="C135" s="6">
        <v>117.99</v>
      </c>
      <c r="D135" s="6">
        <v>117.99</v>
      </c>
      <c r="E135" s="6">
        <v>114.93</v>
      </c>
      <c r="F135" s="6" t="s">
        <v>137</v>
      </c>
      <c r="G135" s="23">
        <v>-8.0000000000000002E-3</v>
      </c>
    </row>
    <row r="136" spans="1:7" x14ac:dyDescent="0.3">
      <c r="A136" s="21">
        <v>45810</v>
      </c>
      <c r="B136" s="6">
        <v>116.84</v>
      </c>
      <c r="C136" s="6">
        <v>114.76</v>
      </c>
      <c r="D136" s="6">
        <v>117.4</v>
      </c>
      <c r="E136" s="6">
        <v>114.3</v>
      </c>
      <c r="F136" s="6" t="s">
        <v>138</v>
      </c>
      <c r="G136" s="23">
        <v>1.8100000000000002E-2</v>
      </c>
    </row>
    <row r="137" spans="1:7" x14ac:dyDescent="0.3">
      <c r="A137" s="21">
        <v>45807</v>
      </c>
      <c r="B137" s="6">
        <v>114.76</v>
      </c>
      <c r="C137" s="6">
        <v>111.12</v>
      </c>
      <c r="D137" s="6">
        <v>115.32</v>
      </c>
      <c r="E137" s="6">
        <v>109.3</v>
      </c>
      <c r="F137" s="6" t="s">
        <v>139</v>
      </c>
      <c r="G137" s="23">
        <v>3.6400000000000002E-2</v>
      </c>
    </row>
    <row r="138" spans="1:7" x14ac:dyDescent="0.3">
      <c r="A138" s="21">
        <v>45806</v>
      </c>
      <c r="B138" s="6">
        <v>110.73</v>
      </c>
      <c r="C138" s="6">
        <v>111.9</v>
      </c>
      <c r="D138" s="6">
        <v>112.01</v>
      </c>
      <c r="E138" s="6">
        <v>109.92</v>
      </c>
      <c r="F138" s="6" t="s">
        <v>140</v>
      </c>
      <c r="G138" s="23">
        <v>-1.9E-3</v>
      </c>
    </row>
    <row r="139" spans="1:7" x14ac:dyDescent="0.3">
      <c r="A139" s="21">
        <v>45805</v>
      </c>
      <c r="B139" s="6">
        <v>110.94</v>
      </c>
      <c r="C139" s="6">
        <v>108.52</v>
      </c>
      <c r="D139" s="6">
        <v>111.48</v>
      </c>
      <c r="E139" s="6">
        <v>108.48</v>
      </c>
      <c r="F139" s="6" t="s">
        <v>137</v>
      </c>
      <c r="G139" s="23">
        <v>2.3099999999999999E-2</v>
      </c>
    </row>
    <row r="140" spans="1:7" x14ac:dyDescent="0.3">
      <c r="A140" s="21">
        <v>45804</v>
      </c>
      <c r="B140" s="6">
        <v>108.43</v>
      </c>
      <c r="C140" s="6">
        <v>107.38</v>
      </c>
      <c r="D140" s="6">
        <v>108.59</v>
      </c>
      <c r="E140" s="6">
        <v>106.6</v>
      </c>
      <c r="F140" s="6" t="s">
        <v>141</v>
      </c>
      <c r="G140" s="23">
        <v>8.8000000000000005E-3</v>
      </c>
    </row>
    <row r="141" spans="1:7" x14ac:dyDescent="0.3">
      <c r="A141" s="21">
        <v>45803</v>
      </c>
      <c r="B141" s="6">
        <v>107.48</v>
      </c>
      <c r="C141" s="6">
        <v>107.4</v>
      </c>
      <c r="D141" s="6">
        <v>108.19</v>
      </c>
      <c r="E141" s="6">
        <v>106.61</v>
      </c>
      <c r="F141" s="6" t="s">
        <v>142</v>
      </c>
      <c r="G141" s="23">
        <v>2.5000000000000001E-3</v>
      </c>
    </row>
    <row r="142" spans="1:7" x14ac:dyDescent="0.3">
      <c r="A142" s="21">
        <v>45800</v>
      </c>
      <c r="B142" s="6">
        <v>107.21</v>
      </c>
      <c r="C142" s="6">
        <v>107.15</v>
      </c>
      <c r="D142" s="6">
        <v>107.99</v>
      </c>
      <c r="E142" s="6">
        <v>106.41</v>
      </c>
      <c r="F142" s="6" t="s">
        <v>143</v>
      </c>
      <c r="G142" s="23">
        <v>3.5000000000000001E-3</v>
      </c>
    </row>
    <row r="143" spans="1:7" x14ac:dyDescent="0.3">
      <c r="A143" s="21">
        <v>45799</v>
      </c>
      <c r="B143" s="6">
        <v>106.84</v>
      </c>
      <c r="C143" s="6">
        <v>107.5</v>
      </c>
      <c r="D143" s="6">
        <v>108.48</v>
      </c>
      <c r="E143" s="6">
        <v>105.82</v>
      </c>
      <c r="F143" s="6" t="s">
        <v>144</v>
      </c>
      <c r="G143" s="23">
        <v>-9.2999999999999992E-3</v>
      </c>
    </row>
    <row r="144" spans="1:7" x14ac:dyDescent="0.3">
      <c r="A144" s="21">
        <v>45798</v>
      </c>
      <c r="B144" s="6">
        <v>107.84</v>
      </c>
      <c r="C144" s="6">
        <v>107</v>
      </c>
      <c r="D144" s="6">
        <v>108</v>
      </c>
      <c r="E144" s="6">
        <v>106.01</v>
      </c>
      <c r="F144" s="6" t="s">
        <v>145</v>
      </c>
      <c r="G144" s="23">
        <v>7.4999999999999997E-3</v>
      </c>
    </row>
    <row r="145" spans="1:7" x14ac:dyDescent="0.3">
      <c r="A145" s="21">
        <v>45797</v>
      </c>
      <c r="B145" s="6">
        <v>107.04</v>
      </c>
      <c r="C145" s="6">
        <v>108.88</v>
      </c>
      <c r="D145" s="6">
        <v>109.05</v>
      </c>
      <c r="E145" s="6">
        <v>106.57</v>
      </c>
      <c r="F145" s="6" t="s">
        <v>146</v>
      </c>
      <c r="G145" s="23">
        <v>-8.5000000000000006E-3</v>
      </c>
    </row>
    <row r="146" spans="1:7" x14ac:dyDescent="0.3">
      <c r="A146" s="21">
        <v>45796</v>
      </c>
      <c r="B146" s="6">
        <v>107.96</v>
      </c>
      <c r="C146" s="6">
        <v>108.7</v>
      </c>
      <c r="D146" s="6">
        <v>109.5</v>
      </c>
      <c r="E146" s="6">
        <v>107.76</v>
      </c>
      <c r="F146" s="6" t="s">
        <v>147</v>
      </c>
      <c r="G146" s="23">
        <v>1.9E-3</v>
      </c>
    </row>
    <row r="147" spans="1:7" x14ac:dyDescent="0.3">
      <c r="A147" s="21">
        <v>45793</v>
      </c>
      <c r="B147" s="6">
        <v>107.76</v>
      </c>
      <c r="C147" s="6">
        <v>105.5</v>
      </c>
      <c r="D147" s="6">
        <v>108.59</v>
      </c>
      <c r="E147" s="6">
        <v>105.5</v>
      </c>
      <c r="F147" s="6" t="s">
        <v>148</v>
      </c>
      <c r="G147" s="23">
        <v>2.47E-2</v>
      </c>
    </row>
    <row r="148" spans="1:7" x14ac:dyDescent="0.3">
      <c r="A148" s="21">
        <v>45792</v>
      </c>
      <c r="B148" s="6">
        <v>105.16</v>
      </c>
      <c r="C148" s="6">
        <v>106.1</v>
      </c>
      <c r="D148" s="6">
        <v>106.25</v>
      </c>
      <c r="E148" s="6">
        <v>104.42</v>
      </c>
      <c r="F148" s="6" t="s">
        <v>149</v>
      </c>
      <c r="G148" s="23">
        <v>-4.7999999999999996E-3</v>
      </c>
    </row>
    <row r="149" spans="1:7" x14ac:dyDescent="0.3">
      <c r="A149" s="21">
        <v>45791</v>
      </c>
      <c r="B149" s="6">
        <v>105.67</v>
      </c>
      <c r="C149" s="6">
        <v>105.6</v>
      </c>
      <c r="D149" s="6">
        <v>106.57</v>
      </c>
      <c r="E149" s="6">
        <v>104.54</v>
      </c>
      <c r="F149" s="6" t="s">
        <v>150</v>
      </c>
      <c r="G149" s="23">
        <v>8.5000000000000006E-3</v>
      </c>
    </row>
    <row r="150" spans="1:7" x14ac:dyDescent="0.3">
      <c r="A150" s="21">
        <v>45790</v>
      </c>
      <c r="B150" s="6">
        <v>104.78</v>
      </c>
      <c r="C150" s="6">
        <v>101.2</v>
      </c>
      <c r="D150" s="6">
        <v>105.57</v>
      </c>
      <c r="E150" s="6">
        <v>100.82</v>
      </c>
      <c r="F150" s="6" t="s">
        <v>151</v>
      </c>
      <c r="G150" s="23">
        <v>3.8899999999999997E-2</v>
      </c>
    </row>
    <row r="151" spans="1:7" x14ac:dyDescent="0.3">
      <c r="A151" s="21">
        <v>45789</v>
      </c>
      <c r="B151" s="6">
        <v>100.86</v>
      </c>
      <c r="C151" s="6">
        <v>100.5</v>
      </c>
      <c r="D151" s="6">
        <v>101.45</v>
      </c>
      <c r="E151" s="6">
        <v>99.85</v>
      </c>
      <c r="F151" s="6" t="s">
        <v>152</v>
      </c>
      <c r="G151" s="23">
        <v>3.3000000000000002E-2</v>
      </c>
    </row>
    <row r="152" spans="1:7" x14ac:dyDescent="0.3">
      <c r="A152" s="21">
        <v>45786</v>
      </c>
      <c r="B152" s="6">
        <v>97.64</v>
      </c>
      <c r="C152" s="6">
        <v>94.01</v>
      </c>
      <c r="D152" s="6">
        <v>98.44</v>
      </c>
      <c r="E152" s="6">
        <v>93.87</v>
      </c>
      <c r="F152" s="6" t="s">
        <v>153</v>
      </c>
      <c r="G152" s="23">
        <v>2.3800000000000002E-2</v>
      </c>
    </row>
    <row r="153" spans="1:7" x14ac:dyDescent="0.3">
      <c r="A153" s="21">
        <v>45785</v>
      </c>
      <c r="B153" s="6">
        <v>95.37</v>
      </c>
      <c r="C153" s="6">
        <v>94.39</v>
      </c>
      <c r="D153" s="6">
        <v>98.17</v>
      </c>
      <c r="E153" s="6">
        <v>92.93</v>
      </c>
      <c r="F153" s="6" t="s">
        <v>154</v>
      </c>
      <c r="G153" s="23">
        <v>1.8100000000000002E-2</v>
      </c>
    </row>
    <row r="154" spans="1:7" x14ac:dyDescent="0.3">
      <c r="A154" s="21">
        <v>45784</v>
      </c>
      <c r="B154" s="6">
        <v>93.67</v>
      </c>
      <c r="C154" s="6">
        <v>91</v>
      </c>
      <c r="D154" s="6">
        <v>94.33</v>
      </c>
      <c r="E154" s="6">
        <v>90.95</v>
      </c>
      <c r="F154" s="6" t="s">
        <v>155</v>
      </c>
      <c r="G154" s="23">
        <v>1.4E-2</v>
      </c>
    </row>
    <row r="155" spans="1:7" x14ac:dyDescent="0.3">
      <c r="A155" s="21">
        <v>45783</v>
      </c>
      <c r="B155" s="6">
        <v>92.38</v>
      </c>
      <c r="C155" s="6">
        <v>97.5</v>
      </c>
      <c r="D155" s="6">
        <v>97.94</v>
      </c>
      <c r="E155" s="6">
        <v>91.89</v>
      </c>
      <c r="F155" s="6" t="s">
        <v>156</v>
      </c>
      <c r="G155" s="23">
        <v>-4.9200000000000001E-2</v>
      </c>
    </row>
    <row r="156" spans="1:7" x14ac:dyDescent="0.3">
      <c r="A156" s="21">
        <v>45782</v>
      </c>
      <c r="B156" s="6">
        <v>97.16</v>
      </c>
      <c r="C156" s="6">
        <v>97</v>
      </c>
      <c r="D156" s="6">
        <v>97.74</v>
      </c>
      <c r="E156" s="6">
        <v>96.65</v>
      </c>
      <c r="F156" s="6" t="s">
        <v>157</v>
      </c>
      <c r="G156" s="23">
        <v>3.2000000000000002E-3</v>
      </c>
    </row>
    <row r="157" spans="1:7" x14ac:dyDescent="0.3">
      <c r="A157" s="21">
        <v>45779</v>
      </c>
      <c r="B157" s="6">
        <v>96.85</v>
      </c>
      <c r="C157" s="6">
        <v>97.5</v>
      </c>
      <c r="D157" s="6">
        <v>98.97</v>
      </c>
      <c r="E157" s="6">
        <v>96.45</v>
      </c>
      <c r="F157" s="6" t="s">
        <v>158</v>
      </c>
      <c r="G157" s="23">
        <v>-6.1999999999999998E-3</v>
      </c>
    </row>
    <row r="158" spans="1:7" x14ac:dyDescent="0.3">
      <c r="A158" s="21">
        <v>45777</v>
      </c>
      <c r="B158" s="6">
        <v>97.45</v>
      </c>
      <c r="C158" s="6">
        <v>99</v>
      </c>
      <c r="D158" s="6">
        <v>99</v>
      </c>
      <c r="E158" s="6">
        <v>96.95</v>
      </c>
      <c r="F158" s="6" t="s">
        <v>159</v>
      </c>
      <c r="G158" s="23">
        <v>-1.89E-2</v>
      </c>
    </row>
    <row r="159" spans="1:7" x14ac:dyDescent="0.3">
      <c r="A159" s="21">
        <v>45776</v>
      </c>
      <c r="B159" s="6">
        <v>99.33</v>
      </c>
      <c r="C159" s="6">
        <v>99.25</v>
      </c>
      <c r="D159" s="6">
        <v>101.39</v>
      </c>
      <c r="E159" s="6">
        <v>98.8</v>
      </c>
      <c r="F159" s="6" t="s">
        <v>160</v>
      </c>
      <c r="G159" s="23">
        <v>8.8999999999999999E-3</v>
      </c>
    </row>
    <row r="160" spans="1:7" x14ac:dyDescent="0.3">
      <c r="A160" s="21">
        <v>45775</v>
      </c>
      <c r="B160" s="6">
        <v>98.45</v>
      </c>
      <c r="C160" s="6">
        <v>96.26</v>
      </c>
      <c r="D160" s="6">
        <v>99</v>
      </c>
      <c r="E160" s="6">
        <v>95.87</v>
      </c>
      <c r="F160" s="6" t="s">
        <v>161</v>
      </c>
      <c r="G160" s="23">
        <v>1.9900000000000001E-2</v>
      </c>
    </row>
    <row r="161" spans="1:7" x14ac:dyDescent="0.3">
      <c r="A161" s="21">
        <v>45772</v>
      </c>
      <c r="B161" s="6">
        <v>96.53</v>
      </c>
      <c r="C161" s="6">
        <v>99.4</v>
      </c>
      <c r="D161" s="6">
        <v>99.71</v>
      </c>
      <c r="E161" s="6">
        <v>96.02</v>
      </c>
      <c r="F161" s="6" t="s">
        <v>162</v>
      </c>
      <c r="G161" s="23">
        <v>-2.8799999999999999E-2</v>
      </c>
    </row>
    <row r="162" spans="1:7" x14ac:dyDescent="0.3">
      <c r="A162" s="21">
        <v>45771</v>
      </c>
      <c r="B162" s="6">
        <v>99.39</v>
      </c>
      <c r="C162" s="6">
        <v>99.5</v>
      </c>
      <c r="D162" s="6">
        <v>100.3</v>
      </c>
      <c r="E162" s="6">
        <v>99</v>
      </c>
      <c r="F162" s="6" t="s">
        <v>163</v>
      </c>
      <c r="G162" s="23">
        <v>-5.9999999999999995E-4</v>
      </c>
    </row>
    <row r="163" spans="1:7" x14ac:dyDescent="0.3">
      <c r="A163" s="21">
        <v>45770</v>
      </c>
      <c r="B163" s="6">
        <v>99.45</v>
      </c>
      <c r="C163" s="6">
        <v>101.15</v>
      </c>
      <c r="D163" s="6">
        <v>101.3</v>
      </c>
      <c r="E163" s="6">
        <v>97.54</v>
      </c>
      <c r="F163" s="6" t="s">
        <v>164</v>
      </c>
      <c r="G163" s="23">
        <v>-1.2E-2</v>
      </c>
    </row>
    <row r="164" spans="1:7" x14ac:dyDescent="0.3">
      <c r="A164" s="21">
        <v>45769</v>
      </c>
      <c r="B164" s="6">
        <v>100.66</v>
      </c>
      <c r="C164" s="6">
        <v>100.11</v>
      </c>
      <c r="D164" s="6">
        <v>102.63</v>
      </c>
      <c r="E164" s="6">
        <v>99.3</v>
      </c>
      <c r="F164" s="6" t="s">
        <v>165</v>
      </c>
      <c r="G164" s="23">
        <v>1.6799999999999999E-2</v>
      </c>
    </row>
    <row r="165" spans="1:7" x14ac:dyDescent="0.3">
      <c r="A165" s="21">
        <v>45768</v>
      </c>
      <c r="B165" s="6">
        <v>99</v>
      </c>
      <c r="C165" s="6">
        <v>96.8</v>
      </c>
      <c r="D165" s="6">
        <v>99.49</v>
      </c>
      <c r="E165" s="6">
        <v>96.5</v>
      </c>
      <c r="F165" s="6" t="s">
        <v>166</v>
      </c>
      <c r="G165" s="23">
        <v>3.1E-2</v>
      </c>
    </row>
    <row r="166" spans="1:7" x14ac:dyDescent="0.3">
      <c r="A166" s="21">
        <v>45764</v>
      </c>
      <c r="B166" s="6">
        <v>96.02</v>
      </c>
      <c r="C166" s="6">
        <v>94.98</v>
      </c>
      <c r="D166" s="6">
        <v>96.6</v>
      </c>
      <c r="E166" s="6">
        <v>94.6</v>
      </c>
      <c r="F166" s="6" t="s">
        <v>167</v>
      </c>
      <c r="G166" s="23">
        <v>1.3899999999999999E-2</v>
      </c>
    </row>
    <row r="167" spans="1:7" x14ac:dyDescent="0.3">
      <c r="A167" s="21">
        <v>45763</v>
      </c>
      <c r="B167" s="6">
        <v>94.7</v>
      </c>
      <c r="C167" s="6">
        <v>92.97</v>
      </c>
      <c r="D167" s="6">
        <v>94.94</v>
      </c>
      <c r="E167" s="6">
        <v>92.5</v>
      </c>
      <c r="F167" s="6" t="s">
        <v>109</v>
      </c>
      <c r="G167" s="23">
        <v>2.1700000000000001E-2</v>
      </c>
    </row>
    <row r="168" spans="1:7" x14ac:dyDescent="0.3">
      <c r="A168" s="21">
        <v>45762</v>
      </c>
      <c r="B168" s="6">
        <v>92.69</v>
      </c>
      <c r="C168" s="6">
        <v>92.83</v>
      </c>
      <c r="D168" s="6">
        <v>92.94</v>
      </c>
      <c r="E168" s="6">
        <v>91.28</v>
      </c>
      <c r="F168" s="6" t="s">
        <v>168</v>
      </c>
      <c r="G168" s="23">
        <v>2.3699999999999999E-2</v>
      </c>
    </row>
    <row r="169" spans="1:7" x14ac:dyDescent="0.3">
      <c r="A169" s="21">
        <v>45758</v>
      </c>
      <c r="B169" s="6">
        <v>90.54</v>
      </c>
      <c r="C169" s="6">
        <v>89.95</v>
      </c>
      <c r="D169" s="6">
        <v>91.4</v>
      </c>
      <c r="E169" s="6">
        <v>88.86</v>
      </c>
      <c r="F169" s="6" t="s">
        <v>169</v>
      </c>
      <c r="G169" s="23">
        <v>2.4E-2</v>
      </c>
    </row>
    <row r="170" spans="1:7" x14ac:dyDescent="0.3">
      <c r="A170" s="21">
        <v>45756</v>
      </c>
      <c r="B170" s="6">
        <v>88.42</v>
      </c>
      <c r="C170" s="6">
        <v>89.66</v>
      </c>
      <c r="D170" s="6">
        <v>90.2</v>
      </c>
      <c r="E170" s="6">
        <v>87.15</v>
      </c>
      <c r="F170" s="6" t="s">
        <v>170</v>
      </c>
      <c r="G170" s="23">
        <v>-1.1299999999999999E-2</v>
      </c>
    </row>
    <row r="171" spans="1:7" x14ac:dyDescent="0.3">
      <c r="A171" s="21">
        <v>45755</v>
      </c>
      <c r="B171" s="6">
        <v>89.43</v>
      </c>
      <c r="C171" s="6">
        <v>89</v>
      </c>
      <c r="D171" s="6">
        <v>89.84</v>
      </c>
      <c r="E171" s="6">
        <v>87.6</v>
      </c>
      <c r="F171" s="6" t="s">
        <v>171</v>
      </c>
      <c r="G171" s="23">
        <v>2.6800000000000001E-2</v>
      </c>
    </row>
    <row r="172" spans="1:7" x14ac:dyDescent="0.3">
      <c r="A172" s="21">
        <v>45754</v>
      </c>
      <c r="B172" s="6">
        <v>87.1</v>
      </c>
      <c r="C172" s="6">
        <v>83.7</v>
      </c>
      <c r="D172" s="6">
        <v>87.92</v>
      </c>
      <c r="E172" s="6">
        <v>83.7</v>
      </c>
      <c r="F172" s="6" t="s">
        <v>172</v>
      </c>
      <c r="G172" s="23">
        <v>-3.6400000000000002E-2</v>
      </c>
    </row>
    <row r="173" spans="1:7" x14ac:dyDescent="0.3">
      <c r="A173" s="21">
        <v>45751</v>
      </c>
      <c r="B173" s="6">
        <v>90.39</v>
      </c>
      <c r="C173" s="6">
        <v>94.41</v>
      </c>
      <c r="D173" s="6">
        <v>94.8</v>
      </c>
      <c r="E173" s="6">
        <v>89.7</v>
      </c>
      <c r="F173" s="6" t="s">
        <v>173</v>
      </c>
      <c r="G173" s="23">
        <v>-4.2299999999999997E-2</v>
      </c>
    </row>
    <row r="174" spans="1:7" x14ac:dyDescent="0.3">
      <c r="A174" s="21">
        <v>45750</v>
      </c>
      <c r="B174" s="6">
        <v>94.38</v>
      </c>
      <c r="C174" s="6">
        <v>90</v>
      </c>
      <c r="D174" s="6">
        <v>95.19</v>
      </c>
      <c r="E174" s="6">
        <v>89.75</v>
      </c>
      <c r="F174" s="6" t="s">
        <v>174</v>
      </c>
      <c r="G174" s="23">
        <v>3.5999999999999997E-2</v>
      </c>
    </row>
    <row r="175" spans="1:7" x14ac:dyDescent="0.3">
      <c r="A175" s="21">
        <v>45749</v>
      </c>
      <c r="B175" s="6">
        <v>91.1</v>
      </c>
      <c r="C175" s="6">
        <v>90.5</v>
      </c>
      <c r="D175" s="6">
        <v>91.33</v>
      </c>
      <c r="E175" s="6">
        <v>88.5</v>
      </c>
      <c r="F175" s="6" t="s">
        <v>175</v>
      </c>
      <c r="G175" s="23">
        <v>1.2200000000000001E-2</v>
      </c>
    </row>
    <row r="176" spans="1:7" x14ac:dyDescent="0.3">
      <c r="A176" s="21">
        <v>45748</v>
      </c>
      <c r="B176" s="6">
        <v>90</v>
      </c>
      <c r="C176" s="6">
        <v>88.53</v>
      </c>
      <c r="D176" s="6">
        <v>90.68</v>
      </c>
      <c r="E176" s="6">
        <v>88.1</v>
      </c>
      <c r="F176" s="6" t="s">
        <v>84</v>
      </c>
      <c r="G176" s="23">
        <v>1.12E-2</v>
      </c>
    </row>
    <row r="177" spans="1:7" x14ac:dyDescent="0.3">
      <c r="A177" s="21">
        <v>45744</v>
      </c>
      <c r="B177" s="6">
        <v>89</v>
      </c>
      <c r="C177" s="6">
        <v>89.65</v>
      </c>
      <c r="D177" s="6">
        <v>91.18</v>
      </c>
      <c r="E177" s="6">
        <v>88.66</v>
      </c>
      <c r="F177" s="6" t="s">
        <v>176</v>
      </c>
      <c r="G177" s="23">
        <v>-7.3000000000000001E-3</v>
      </c>
    </row>
    <row r="178" spans="1:7" x14ac:dyDescent="0.3">
      <c r="A178" s="21">
        <v>45743</v>
      </c>
      <c r="B178" s="6">
        <v>89.65</v>
      </c>
      <c r="C178" s="6">
        <v>87.1</v>
      </c>
      <c r="D178" s="6">
        <v>90</v>
      </c>
      <c r="E178" s="6">
        <v>86.8</v>
      </c>
      <c r="F178" s="6" t="s">
        <v>177</v>
      </c>
      <c r="G178" s="23">
        <v>2.76E-2</v>
      </c>
    </row>
    <row r="179" spans="1:7" x14ac:dyDescent="0.3">
      <c r="A179" s="21">
        <v>45742</v>
      </c>
      <c r="B179" s="6">
        <v>87.24</v>
      </c>
      <c r="C179" s="6">
        <v>88.3</v>
      </c>
      <c r="D179" s="6">
        <v>89.32</v>
      </c>
      <c r="E179" s="6">
        <v>87</v>
      </c>
      <c r="F179" s="6" t="s">
        <v>178</v>
      </c>
      <c r="G179" s="23">
        <v>-1.38E-2</v>
      </c>
    </row>
    <row r="180" spans="1:7" x14ac:dyDescent="0.3">
      <c r="A180" s="21">
        <v>45741</v>
      </c>
      <c r="B180" s="6">
        <v>88.46</v>
      </c>
      <c r="C180" s="6">
        <v>92.2</v>
      </c>
      <c r="D180" s="6">
        <v>92.25</v>
      </c>
      <c r="E180" s="6">
        <v>88.05</v>
      </c>
      <c r="F180" s="6" t="s">
        <v>179</v>
      </c>
      <c r="G180" s="23">
        <v>-3.1300000000000001E-2</v>
      </c>
    </row>
    <row r="181" spans="1:7" x14ac:dyDescent="0.3">
      <c r="A181" s="21">
        <v>45740</v>
      </c>
      <c r="B181" s="6">
        <v>91.32</v>
      </c>
      <c r="C181" s="6">
        <v>88.5</v>
      </c>
      <c r="D181" s="6">
        <v>91.6</v>
      </c>
      <c r="E181" s="6">
        <v>88.2</v>
      </c>
      <c r="F181" s="6" t="s">
        <v>180</v>
      </c>
      <c r="G181" s="23">
        <v>4.3200000000000002E-2</v>
      </c>
    </row>
    <row r="182" spans="1:7" x14ac:dyDescent="0.3">
      <c r="A182" s="21">
        <v>45737</v>
      </c>
      <c r="B182" s="6">
        <v>87.54</v>
      </c>
      <c r="C182" s="6">
        <v>86</v>
      </c>
      <c r="D182" s="6">
        <v>88.25</v>
      </c>
      <c r="E182" s="6">
        <v>85.5</v>
      </c>
      <c r="F182" s="6" t="s">
        <v>181</v>
      </c>
      <c r="G182" s="23">
        <v>1.9800000000000002E-2</v>
      </c>
    </row>
    <row r="183" spans="1:7" x14ac:dyDescent="0.3">
      <c r="A183" s="21">
        <v>45736</v>
      </c>
      <c r="B183" s="6">
        <v>85.84</v>
      </c>
      <c r="C183" s="6">
        <v>85.99</v>
      </c>
      <c r="D183" s="6">
        <v>86.68</v>
      </c>
      <c r="E183" s="6">
        <v>85.35</v>
      </c>
      <c r="F183" s="6" t="s">
        <v>182</v>
      </c>
      <c r="G183" s="23">
        <v>3.2000000000000002E-3</v>
      </c>
    </row>
    <row r="184" spans="1:7" x14ac:dyDescent="0.3">
      <c r="A184" s="21">
        <v>45735</v>
      </c>
      <c r="B184" s="6">
        <v>85.57</v>
      </c>
      <c r="C184" s="6">
        <v>84.02</v>
      </c>
      <c r="D184" s="6">
        <v>85.85</v>
      </c>
      <c r="E184" s="6">
        <v>84.02</v>
      </c>
      <c r="F184" s="6" t="s">
        <v>183</v>
      </c>
      <c r="G184" s="23">
        <v>1.9699999999999999E-2</v>
      </c>
    </row>
    <row r="185" spans="1:7" x14ac:dyDescent="0.3">
      <c r="A185" s="21">
        <v>45734</v>
      </c>
      <c r="B185" s="6">
        <v>83.92</v>
      </c>
      <c r="C185" s="6">
        <v>82.86</v>
      </c>
      <c r="D185" s="6">
        <v>84.1</v>
      </c>
      <c r="E185" s="6">
        <v>82.61</v>
      </c>
      <c r="F185" s="6" t="s">
        <v>184</v>
      </c>
      <c r="G185" s="23">
        <v>1.7299999999999999E-2</v>
      </c>
    </row>
    <row r="186" spans="1:7" x14ac:dyDescent="0.3">
      <c r="A186" s="21">
        <v>45733</v>
      </c>
      <c r="B186" s="6">
        <v>82.49</v>
      </c>
      <c r="C186" s="6">
        <v>83.3</v>
      </c>
      <c r="D186" s="6">
        <v>83.46</v>
      </c>
      <c r="E186" s="6">
        <v>82.17</v>
      </c>
      <c r="F186" s="6" t="s">
        <v>185</v>
      </c>
      <c r="G186" s="23">
        <v>-4.8999999999999998E-3</v>
      </c>
    </row>
    <row r="187" spans="1:7" x14ac:dyDescent="0.3">
      <c r="A187" s="21">
        <v>45729</v>
      </c>
      <c r="B187" s="6">
        <v>82.9</v>
      </c>
      <c r="C187" s="6">
        <v>82.72</v>
      </c>
      <c r="D187" s="6">
        <v>83.48</v>
      </c>
      <c r="E187" s="6">
        <v>82.16</v>
      </c>
      <c r="F187" s="6" t="s">
        <v>186</v>
      </c>
      <c r="G187" s="23">
        <v>5.3E-3</v>
      </c>
    </row>
    <row r="188" spans="1:7" x14ac:dyDescent="0.3">
      <c r="A188" s="21">
        <v>45728</v>
      </c>
      <c r="B188" s="6">
        <v>82.46</v>
      </c>
      <c r="C188" s="6">
        <v>83.3</v>
      </c>
      <c r="D188" s="6">
        <v>84.1</v>
      </c>
      <c r="E188" s="6">
        <v>81.55</v>
      </c>
      <c r="F188" s="6" t="s">
        <v>187</v>
      </c>
      <c r="G188" s="23">
        <v>-9.7999999999999997E-3</v>
      </c>
    </row>
    <row r="189" spans="1:7" x14ac:dyDescent="0.3">
      <c r="A189" s="21">
        <v>45727</v>
      </c>
      <c r="B189" s="6">
        <v>83.28</v>
      </c>
      <c r="C189" s="6">
        <v>81.400000000000006</v>
      </c>
      <c r="D189" s="6">
        <v>83.65</v>
      </c>
      <c r="E189" s="6">
        <v>81.400000000000006</v>
      </c>
      <c r="F189" s="6" t="s">
        <v>188</v>
      </c>
      <c r="G189" s="23">
        <v>9.5999999999999992E-3</v>
      </c>
    </row>
    <row r="190" spans="1:7" x14ac:dyDescent="0.3">
      <c r="A190" s="21">
        <v>45726</v>
      </c>
      <c r="B190" s="6">
        <v>82.49</v>
      </c>
      <c r="C190" s="6">
        <v>85</v>
      </c>
      <c r="D190" s="6">
        <v>85.43</v>
      </c>
      <c r="E190" s="6">
        <v>82.21</v>
      </c>
      <c r="F190" s="6" t="s">
        <v>189</v>
      </c>
      <c r="G190" s="23">
        <v>-2.98E-2</v>
      </c>
    </row>
    <row r="191" spans="1:7" x14ac:dyDescent="0.3">
      <c r="A191" s="21">
        <v>45723</v>
      </c>
      <c r="B191" s="6">
        <v>85.02</v>
      </c>
      <c r="C191" s="6">
        <v>85.5</v>
      </c>
      <c r="D191" s="6">
        <v>85.95</v>
      </c>
      <c r="E191" s="6">
        <v>84.45</v>
      </c>
      <c r="F191" s="6" t="s">
        <v>190</v>
      </c>
      <c r="G191" s="23">
        <v>-3.8999999999999998E-3</v>
      </c>
    </row>
    <row r="192" spans="1:7" x14ac:dyDescent="0.3">
      <c r="A192" s="21">
        <v>45722</v>
      </c>
      <c r="B192" s="6">
        <v>85.35</v>
      </c>
      <c r="C192" s="6">
        <v>86</v>
      </c>
      <c r="D192" s="6">
        <v>86.77</v>
      </c>
      <c r="E192" s="6">
        <v>85.11</v>
      </c>
      <c r="F192" s="6" t="s">
        <v>191</v>
      </c>
      <c r="G192" s="23">
        <v>3.8999999999999998E-3</v>
      </c>
    </row>
    <row r="193" spans="1:7" x14ac:dyDescent="0.3">
      <c r="A193" s="21">
        <v>45721</v>
      </c>
      <c r="B193" s="6">
        <v>85.02</v>
      </c>
      <c r="C193" s="6">
        <v>82.35</v>
      </c>
      <c r="D193" s="6">
        <v>85.15</v>
      </c>
      <c r="E193" s="6">
        <v>82.14</v>
      </c>
      <c r="F193" s="6" t="s">
        <v>192</v>
      </c>
      <c r="G193" s="23">
        <v>3.7600000000000001E-2</v>
      </c>
    </row>
    <row r="194" spans="1:7" x14ac:dyDescent="0.3">
      <c r="A194" s="21">
        <v>45720</v>
      </c>
      <c r="B194" s="6">
        <v>81.94</v>
      </c>
      <c r="C194" s="6">
        <v>80.45</v>
      </c>
      <c r="D194" s="6">
        <v>82.99</v>
      </c>
      <c r="E194" s="6">
        <v>79.7</v>
      </c>
      <c r="F194" s="6" t="s">
        <v>193</v>
      </c>
      <c r="G194" s="23">
        <v>6.4000000000000003E-3</v>
      </c>
    </row>
    <row r="195" spans="1:7" x14ac:dyDescent="0.3">
      <c r="A195" s="21">
        <v>45719</v>
      </c>
      <c r="B195" s="6">
        <v>81.42</v>
      </c>
      <c r="C195" s="6">
        <v>81.25</v>
      </c>
      <c r="D195" s="6">
        <v>82</v>
      </c>
      <c r="E195" s="6">
        <v>78.599999999999994</v>
      </c>
      <c r="F195" s="6" t="s">
        <v>194</v>
      </c>
      <c r="G195" s="23">
        <v>6.4000000000000003E-3</v>
      </c>
    </row>
    <row r="196" spans="1:7" x14ac:dyDescent="0.3">
      <c r="A196" s="21">
        <v>45716</v>
      </c>
      <c r="B196" s="6">
        <v>80.900000000000006</v>
      </c>
      <c r="C196" s="6">
        <v>82.8</v>
      </c>
      <c r="D196" s="6">
        <v>82.8</v>
      </c>
      <c r="E196" s="6">
        <v>80.25</v>
      </c>
      <c r="F196" s="6" t="s">
        <v>195</v>
      </c>
      <c r="G196" s="23">
        <v>-3.0700000000000002E-2</v>
      </c>
    </row>
    <row r="197" spans="1:7" x14ac:dyDescent="0.3">
      <c r="A197" s="21">
        <v>45715</v>
      </c>
      <c r="B197" s="6">
        <v>83.46</v>
      </c>
      <c r="C197" s="6">
        <v>85.03</v>
      </c>
      <c r="D197" s="6">
        <v>85.58</v>
      </c>
      <c r="E197" s="6">
        <v>83.01</v>
      </c>
      <c r="F197" s="6" t="s">
        <v>196</v>
      </c>
      <c r="G197" s="23">
        <v>-1.83E-2</v>
      </c>
    </row>
    <row r="198" spans="1:7" x14ac:dyDescent="0.3">
      <c r="A198" s="21">
        <v>45713</v>
      </c>
      <c r="B198" s="6">
        <v>85.02</v>
      </c>
      <c r="C198" s="6">
        <v>86.9</v>
      </c>
      <c r="D198" s="6">
        <v>87.75</v>
      </c>
      <c r="E198" s="6">
        <v>84.9</v>
      </c>
      <c r="F198" s="6" t="s">
        <v>197</v>
      </c>
      <c r="G198" s="23">
        <v>-2.2200000000000001E-2</v>
      </c>
    </row>
    <row r="199" spans="1:7" x14ac:dyDescent="0.3">
      <c r="A199" s="21">
        <v>45712</v>
      </c>
      <c r="B199" s="6">
        <v>86.95</v>
      </c>
      <c r="C199" s="6">
        <v>87</v>
      </c>
      <c r="D199" s="6">
        <v>87.29</v>
      </c>
      <c r="E199" s="6">
        <v>85.55</v>
      </c>
      <c r="F199" s="6" t="s">
        <v>93</v>
      </c>
      <c r="G199" s="23">
        <v>-4.4000000000000003E-3</v>
      </c>
    </row>
    <row r="200" spans="1:7" x14ac:dyDescent="0.3">
      <c r="A200" s="21">
        <v>45709</v>
      </c>
      <c r="B200" s="6">
        <v>87.33</v>
      </c>
      <c r="C200" s="6">
        <v>87.6</v>
      </c>
      <c r="D200" s="6">
        <v>89.25</v>
      </c>
      <c r="E200" s="6">
        <v>86.74</v>
      </c>
      <c r="F200" s="6" t="s">
        <v>198</v>
      </c>
      <c r="G200" s="23">
        <v>-8.3000000000000001E-3</v>
      </c>
    </row>
    <row r="201" spans="1:7" x14ac:dyDescent="0.3">
      <c r="A201" s="21">
        <v>45708</v>
      </c>
      <c r="B201" s="6">
        <v>88.06</v>
      </c>
      <c r="C201" s="6">
        <v>85.4</v>
      </c>
      <c r="D201" s="6">
        <v>88.4</v>
      </c>
      <c r="E201" s="6">
        <v>85</v>
      </c>
      <c r="F201" s="6" t="s">
        <v>199</v>
      </c>
      <c r="G201" s="23">
        <v>2.92E-2</v>
      </c>
    </row>
    <row r="202" spans="1:7" x14ac:dyDescent="0.3">
      <c r="A202" s="21">
        <v>45707</v>
      </c>
      <c r="B202" s="6">
        <v>85.56</v>
      </c>
      <c r="C202" s="6">
        <v>84</v>
      </c>
      <c r="D202" s="6">
        <v>85.95</v>
      </c>
      <c r="E202" s="6">
        <v>83.75</v>
      </c>
      <c r="F202" s="6" t="s">
        <v>200</v>
      </c>
      <c r="G202" s="23">
        <v>1.0800000000000001E-2</v>
      </c>
    </row>
    <row r="203" spans="1:7" x14ac:dyDescent="0.3">
      <c r="A203" s="21">
        <v>45706</v>
      </c>
      <c r="B203" s="6">
        <v>84.65</v>
      </c>
      <c r="C203" s="6">
        <v>85.49</v>
      </c>
      <c r="D203" s="6">
        <v>85.89</v>
      </c>
      <c r="E203" s="6">
        <v>83.52</v>
      </c>
      <c r="F203" s="6" t="s">
        <v>201</v>
      </c>
      <c r="G203" s="23">
        <v>-5.1999999999999998E-3</v>
      </c>
    </row>
    <row r="204" spans="1:7" x14ac:dyDescent="0.3">
      <c r="A204" s="21">
        <v>45705</v>
      </c>
      <c r="B204" s="6">
        <v>85.09</v>
      </c>
      <c r="C204" s="6">
        <v>85.61</v>
      </c>
      <c r="D204" s="6">
        <v>85.61</v>
      </c>
      <c r="E204" s="6">
        <v>83.52</v>
      </c>
      <c r="F204" s="6" t="s">
        <v>202</v>
      </c>
      <c r="G204" s="23">
        <v>-6.1999999999999998E-3</v>
      </c>
    </row>
    <row r="205" spans="1:7" x14ac:dyDescent="0.3">
      <c r="A205" s="21">
        <v>45702</v>
      </c>
      <c r="B205" s="6">
        <v>85.62</v>
      </c>
      <c r="C205" s="6">
        <v>89.15</v>
      </c>
      <c r="D205" s="6">
        <v>89.25</v>
      </c>
      <c r="E205" s="6">
        <v>84.72</v>
      </c>
      <c r="F205" s="6" t="s">
        <v>203</v>
      </c>
      <c r="G205" s="23">
        <v>-3.49E-2</v>
      </c>
    </row>
    <row r="206" spans="1:7" x14ac:dyDescent="0.3">
      <c r="A206" s="21">
        <v>45701</v>
      </c>
      <c r="B206" s="6">
        <v>88.72</v>
      </c>
      <c r="C206" s="6">
        <v>91</v>
      </c>
      <c r="D206" s="6">
        <v>91.46</v>
      </c>
      <c r="E206" s="6">
        <v>88.2</v>
      </c>
      <c r="F206" s="6" t="s">
        <v>204</v>
      </c>
      <c r="G206" s="23">
        <v>-2.01E-2</v>
      </c>
    </row>
    <row r="207" spans="1:7" x14ac:dyDescent="0.3">
      <c r="A207" s="21">
        <v>45700</v>
      </c>
      <c r="B207" s="6">
        <v>90.54</v>
      </c>
      <c r="C207" s="6">
        <v>90</v>
      </c>
      <c r="D207" s="6">
        <v>91.43</v>
      </c>
      <c r="E207" s="6">
        <v>87.41</v>
      </c>
      <c r="F207" s="6" t="s">
        <v>205</v>
      </c>
      <c r="G207" s="23">
        <v>5.0000000000000001E-3</v>
      </c>
    </row>
    <row r="208" spans="1:7" x14ac:dyDescent="0.3">
      <c r="A208" s="21">
        <v>45699</v>
      </c>
      <c r="B208" s="6">
        <v>90.09</v>
      </c>
      <c r="C208" s="6">
        <v>93.4</v>
      </c>
      <c r="D208" s="6">
        <v>93.49</v>
      </c>
      <c r="E208" s="6">
        <v>90</v>
      </c>
      <c r="F208" s="6" t="s">
        <v>206</v>
      </c>
      <c r="G208" s="23">
        <v>-3.3099999999999997E-2</v>
      </c>
    </row>
    <row r="209" spans="1:7" x14ac:dyDescent="0.3">
      <c r="A209" s="21">
        <v>45698</v>
      </c>
      <c r="B209" s="6">
        <v>93.17</v>
      </c>
      <c r="C209" s="6">
        <v>94.06</v>
      </c>
      <c r="D209" s="6">
        <v>94.45</v>
      </c>
      <c r="E209" s="6">
        <v>91.86</v>
      </c>
      <c r="F209" s="6" t="s">
        <v>207</v>
      </c>
      <c r="G209" s="23">
        <v>-9.4999999999999998E-3</v>
      </c>
    </row>
    <row r="210" spans="1:7" x14ac:dyDescent="0.3">
      <c r="A210" s="21">
        <v>45695</v>
      </c>
      <c r="B210" s="6">
        <v>94.06</v>
      </c>
      <c r="C210" s="6">
        <v>94.99</v>
      </c>
      <c r="D210" s="6">
        <v>96.05</v>
      </c>
      <c r="E210" s="6">
        <v>93.07</v>
      </c>
      <c r="F210" s="6" t="s">
        <v>208</v>
      </c>
      <c r="G210" s="23">
        <v>-8.3999999999999995E-3</v>
      </c>
    </row>
    <row r="211" spans="1:7" x14ac:dyDescent="0.3">
      <c r="A211" s="21">
        <v>45694</v>
      </c>
      <c r="B211" s="6">
        <v>94.86</v>
      </c>
      <c r="C211" s="6">
        <v>96.18</v>
      </c>
      <c r="D211" s="6">
        <v>96.45</v>
      </c>
      <c r="E211" s="6">
        <v>94.26</v>
      </c>
      <c r="F211" s="6" t="s">
        <v>209</v>
      </c>
      <c r="G211" s="23">
        <v>-1.01E-2</v>
      </c>
    </row>
    <row r="212" spans="1:7" x14ac:dyDescent="0.3">
      <c r="A212" s="21">
        <v>45693</v>
      </c>
      <c r="B212" s="6">
        <v>95.83</v>
      </c>
      <c r="C212" s="6">
        <v>93.7</v>
      </c>
      <c r="D212" s="6">
        <v>96.9</v>
      </c>
      <c r="E212" s="6">
        <v>93.55</v>
      </c>
      <c r="F212" s="6" t="s">
        <v>210</v>
      </c>
      <c r="G212" s="23">
        <v>3.2199999999999999E-2</v>
      </c>
    </row>
    <row r="213" spans="1:7" x14ac:dyDescent="0.3">
      <c r="A213" s="21">
        <v>45692</v>
      </c>
      <c r="B213" s="6">
        <v>92.84</v>
      </c>
      <c r="C213" s="6">
        <v>91.5</v>
      </c>
      <c r="D213" s="6">
        <v>93.15</v>
      </c>
      <c r="E213" s="6">
        <v>91.35</v>
      </c>
      <c r="F213" s="6" t="s">
        <v>211</v>
      </c>
      <c r="G213" s="23">
        <v>2.46E-2</v>
      </c>
    </row>
    <row r="214" spans="1:7" x14ac:dyDescent="0.3">
      <c r="A214" s="21">
        <v>45691</v>
      </c>
      <c r="B214" s="6">
        <v>90.61</v>
      </c>
      <c r="C214" s="6">
        <v>91.91</v>
      </c>
      <c r="D214" s="6">
        <v>92.02</v>
      </c>
      <c r="E214" s="6">
        <v>89.47</v>
      </c>
      <c r="F214" s="6" t="s">
        <v>212</v>
      </c>
      <c r="G214" s="23">
        <v>-2.1700000000000001E-2</v>
      </c>
    </row>
    <row r="215" spans="1:7" x14ac:dyDescent="0.3">
      <c r="A215" s="21">
        <v>45689</v>
      </c>
      <c r="B215" s="6">
        <v>92.62</v>
      </c>
      <c r="C215" s="6">
        <v>93.5</v>
      </c>
      <c r="D215" s="6">
        <v>94.29</v>
      </c>
      <c r="E215" s="6">
        <v>91.06</v>
      </c>
      <c r="F215" s="6" t="s">
        <v>213</v>
      </c>
      <c r="G215" s="23">
        <v>-7.0000000000000001E-3</v>
      </c>
    </row>
    <row r="216" spans="1:7" x14ac:dyDescent="0.3">
      <c r="A216" s="21">
        <v>45688</v>
      </c>
      <c r="B216" s="6">
        <v>93.27</v>
      </c>
      <c r="C216" s="6">
        <v>91.4</v>
      </c>
      <c r="D216" s="6">
        <v>94</v>
      </c>
      <c r="E216" s="6">
        <v>90.75</v>
      </c>
      <c r="F216" s="6" t="s">
        <v>214</v>
      </c>
      <c r="G216" s="23">
        <v>2.5999999999999999E-2</v>
      </c>
    </row>
    <row r="217" spans="1:7" x14ac:dyDescent="0.3">
      <c r="A217" s="21">
        <v>45687</v>
      </c>
      <c r="B217" s="6">
        <v>90.91</v>
      </c>
      <c r="C217" s="6">
        <v>92.4</v>
      </c>
      <c r="D217" s="6">
        <v>92.4</v>
      </c>
      <c r="E217" s="6">
        <v>90.5</v>
      </c>
      <c r="F217" s="6" t="s">
        <v>215</v>
      </c>
      <c r="G217" s="23">
        <v>-1.11E-2</v>
      </c>
    </row>
    <row r="218" spans="1:7" x14ac:dyDescent="0.3">
      <c r="A218" s="21">
        <v>45686</v>
      </c>
      <c r="B218" s="6">
        <v>91.93</v>
      </c>
      <c r="C218" s="6">
        <v>92.8</v>
      </c>
      <c r="D218" s="6">
        <v>92.85</v>
      </c>
      <c r="E218" s="6">
        <v>91.33</v>
      </c>
      <c r="F218" s="6" t="s">
        <v>216</v>
      </c>
      <c r="G218" s="23">
        <v>1.1999999999999999E-3</v>
      </c>
    </row>
    <row r="219" spans="1:7" x14ac:dyDescent="0.3">
      <c r="A219" s="21">
        <v>45685</v>
      </c>
      <c r="B219" s="6">
        <v>91.82</v>
      </c>
      <c r="C219" s="6">
        <v>93.7</v>
      </c>
      <c r="D219" s="6">
        <v>95</v>
      </c>
      <c r="E219" s="6">
        <v>90.32</v>
      </c>
      <c r="F219" s="6" t="s">
        <v>217</v>
      </c>
      <c r="G219" s="23">
        <v>-1.1999999999999999E-3</v>
      </c>
    </row>
    <row r="220" spans="1:7" x14ac:dyDescent="0.3">
      <c r="A220" s="21">
        <v>45684</v>
      </c>
      <c r="B220" s="6">
        <v>91.93</v>
      </c>
      <c r="C220" s="6">
        <v>96</v>
      </c>
      <c r="D220" s="6">
        <v>97.6</v>
      </c>
      <c r="E220" s="6">
        <v>90.88</v>
      </c>
      <c r="F220" s="6" t="s">
        <v>218</v>
      </c>
      <c r="G220" s="23">
        <v>-4.9799999999999997E-2</v>
      </c>
    </row>
    <row r="221" spans="1:7" x14ac:dyDescent="0.3">
      <c r="A221" s="21">
        <v>45681</v>
      </c>
      <c r="B221" s="6">
        <v>96.75</v>
      </c>
      <c r="C221" s="6">
        <v>98.15</v>
      </c>
      <c r="D221" s="6">
        <v>98.68</v>
      </c>
      <c r="E221" s="6">
        <v>96.41</v>
      </c>
      <c r="F221" s="6" t="s">
        <v>219</v>
      </c>
      <c r="G221" s="23">
        <v>-1.43E-2</v>
      </c>
    </row>
    <row r="222" spans="1:7" x14ac:dyDescent="0.3">
      <c r="A222" s="21">
        <v>45680</v>
      </c>
      <c r="B222" s="6">
        <v>98.15</v>
      </c>
      <c r="C222" s="6">
        <v>97.7</v>
      </c>
      <c r="D222" s="6">
        <v>98.85</v>
      </c>
      <c r="E222" s="6">
        <v>96.88</v>
      </c>
      <c r="F222" s="6" t="s">
        <v>220</v>
      </c>
      <c r="G222" s="23">
        <v>3.3999999999999998E-3</v>
      </c>
    </row>
    <row r="223" spans="1:7" x14ac:dyDescent="0.3">
      <c r="A223" s="21">
        <v>45679</v>
      </c>
      <c r="B223" s="6">
        <v>97.82</v>
      </c>
      <c r="C223" s="6">
        <v>99.4</v>
      </c>
      <c r="D223" s="6">
        <v>99.59</v>
      </c>
      <c r="E223" s="6">
        <v>95.72</v>
      </c>
      <c r="F223" s="6" t="s">
        <v>221</v>
      </c>
      <c r="G223" s="23">
        <v>-1.66E-2</v>
      </c>
    </row>
    <row r="224" spans="1:7" x14ac:dyDescent="0.3">
      <c r="A224" s="21">
        <v>45678</v>
      </c>
      <c r="B224" s="6">
        <v>99.47</v>
      </c>
      <c r="C224" s="6">
        <v>101.04</v>
      </c>
      <c r="D224" s="6">
        <v>101.69</v>
      </c>
      <c r="E224" s="6">
        <v>99.12</v>
      </c>
      <c r="F224" s="6" t="s">
        <v>222</v>
      </c>
      <c r="G224" s="23">
        <v>-1.55E-2</v>
      </c>
    </row>
    <row r="225" spans="1:7" x14ac:dyDescent="0.3">
      <c r="A225" s="21">
        <v>45677</v>
      </c>
      <c r="B225" s="6">
        <v>101.04</v>
      </c>
      <c r="C225" s="6">
        <v>98.11</v>
      </c>
      <c r="D225" s="6">
        <v>102</v>
      </c>
      <c r="E225" s="6">
        <v>97.61</v>
      </c>
      <c r="F225" s="6" t="s">
        <v>223</v>
      </c>
      <c r="G225" s="23">
        <v>3.2300000000000002E-2</v>
      </c>
    </row>
    <row r="226" spans="1:7" x14ac:dyDescent="0.3">
      <c r="A226" s="21">
        <v>45674</v>
      </c>
      <c r="B226" s="6">
        <v>97.88</v>
      </c>
      <c r="C226" s="6">
        <v>96.96</v>
      </c>
      <c r="D226" s="6">
        <v>98.37</v>
      </c>
      <c r="E226" s="6">
        <v>96.5</v>
      </c>
      <c r="F226" s="6" t="s">
        <v>224</v>
      </c>
      <c r="G226" s="23">
        <v>5.7000000000000002E-3</v>
      </c>
    </row>
    <row r="227" spans="1:7" x14ac:dyDescent="0.3">
      <c r="A227" s="21">
        <v>45673</v>
      </c>
      <c r="B227" s="6">
        <v>97.33</v>
      </c>
      <c r="C227" s="6">
        <v>96.05</v>
      </c>
      <c r="D227" s="6">
        <v>98.26</v>
      </c>
      <c r="E227" s="6">
        <v>96.05</v>
      </c>
      <c r="F227" s="6" t="s">
        <v>225</v>
      </c>
      <c r="G227" s="23">
        <v>2.7900000000000001E-2</v>
      </c>
    </row>
    <row r="228" spans="1:7" x14ac:dyDescent="0.3">
      <c r="A228" s="21">
        <v>45672</v>
      </c>
      <c r="B228" s="6">
        <v>94.69</v>
      </c>
      <c r="C228" s="6">
        <v>94.15</v>
      </c>
      <c r="D228" s="6">
        <v>95.67</v>
      </c>
      <c r="E228" s="6">
        <v>93.67</v>
      </c>
      <c r="F228" s="6" t="s">
        <v>226</v>
      </c>
      <c r="G228" s="23">
        <v>1.5800000000000002E-2</v>
      </c>
    </row>
    <row r="229" spans="1:7" x14ac:dyDescent="0.3">
      <c r="A229" s="21">
        <v>45671</v>
      </c>
      <c r="B229" s="6">
        <v>93.22</v>
      </c>
      <c r="C229" s="6">
        <v>89.47</v>
      </c>
      <c r="D229" s="6">
        <v>94.08</v>
      </c>
      <c r="E229" s="6">
        <v>89.21</v>
      </c>
      <c r="F229" s="6" t="s">
        <v>227</v>
      </c>
      <c r="G229" s="23">
        <v>5.3100000000000001E-2</v>
      </c>
    </row>
    <row r="230" spans="1:7" x14ac:dyDescent="0.3">
      <c r="A230" s="21">
        <v>45670</v>
      </c>
      <c r="B230" s="6">
        <v>88.52</v>
      </c>
      <c r="C230" s="6">
        <v>92.15</v>
      </c>
      <c r="D230" s="6">
        <v>92.36</v>
      </c>
      <c r="E230" s="6">
        <v>87.79</v>
      </c>
      <c r="F230" s="6" t="s">
        <v>228</v>
      </c>
      <c r="G230" s="23">
        <v>-4.6399999999999997E-2</v>
      </c>
    </row>
    <row r="231" spans="1:7" x14ac:dyDescent="0.3">
      <c r="A231" s="21">
        <v>45667</v>
      </c>
      <c r="B231" s="6">
        <v>92.83</v>
      </c>
      <c r="C231" s="6">
        <v>95.8</v>
      </c>
      <c r="D231" s="6">
        <v>96.1</v>
      </c>
      <c r="E231" s="6">
        <v>92.65</v>
      </c>
      <c r="F231" s="6" t="s">
        <v>229</v>
      </c>
      <c r="G231" s="23">
        <v>-3.04E-2</v>
      </c>
    </row>
    <row r="232" spans="1:7" x14ac:dyDescent="0.3">
      <c r="A232" s="21">
        <v>45666</v>
      </c>
      <c r="B232" s="6">
        <v>95.74</v>
      </c>
      <c r="C232" s="6">
        <v>97.15</v>
      </c>
      <c r="D232" s="6">
        <v>97.38</v>
      </c>
      <c r="E232" s="6">
        <v>95.54</v>
      </c>
      <c r="F232" s="6" t="s">
        <v>230</v>
      </c>
      <c r="G232" s="23">
        <v>-1.44E-2</v>
      </c>
    </row>
    <row r="233" spans="1:7" x14ac:dyDescent="0.3">
      <c r="A233" s="21">
        <v>45665</v>
      </c>
      <c r="B233" s="6">
        <v>97.14</v>
      </c>
      <c r="C233" s="6">
        <v>97.9</v>
      </c>
      <c r="D233" s="6">
        <v>98.44</v>
      </c>
      <c r="E233" s="6">
        <v>96.02</v>
      </c>
      <c r="F233" s="6" t="s">
        <v>231</v>
      </c>
      <c r="G233" s="23">
        <v>-7.4999999999999997E-3</v>
      </c>
    </row>
    <row r="234" spans="1:7" x14ac:dyDescent="0.3">
      <c r="A234" s="21">
        <v>45664</v>
      </c>
      <c r="B234" s="6">
        <v>97.87</v>
      </c>
      <c r="C234" s="6">
        <v>97.61</v>
      </c>
      <c r="D234" s="6">
        <v>99</v>
      </c>
      <c r="E234" s="6">
        <v>97.22</v>
      </c>
      <c r="F234" s="6" t="s">
        <v>83</v>
      </c>
      <c r="G234" s="23">
        <v>5.4999999999999997E-3</v>
      </c>
    </row>
    <row r="235" spans="1:7" x14ac:dyDescent="0.3">
      <c r="A235" s="21">
        <v>45663</v>
      </c>
      <c r="B235" s="6">
        <v>97.33</v>
      </c>
      <c r="C235" s="6">
        <v>101.45</v>
      </c>
      <c r="D235" s="6">
        <v>101.77</v>
      </c>
      <c r="E235" s="6">
        <v>96.91</v>
      </c>
      <c r="F235" s="6" t="s">
        <v>232</v>
      </c>
      <c r="G235" s="23">
        <v>-4.0599999999999997E-2</v>
      </c>
    </row>
    <row r="236" spans="1:7" x14ac:dyDescent="0.3">
      <c r="A236" s="21">
        <v>45660</v>
      </c>
      <c r="B236" s="6">
        <v>101.45</v>
      </c>
      <c r="C236" s="6">
        <v>101.51</v>
      </c>
      <c r="D236" s="6">
        <v>103.14</v>
      </c>
      <c r="E236" s="6">
        <v>101.16</v>
      </c>
      <c r="F236" s="6" t="s">
        <v>233</v>
      </c>
      <c r="G236" s="23">
        <v>3.5000000000000001E-3</v>
      </c>
    </row>
    <row r="237" spans="1:7" x14ac:dyDescent="0.3">
      <c r="A237" s="21">
        <v>45659</v>
      </c>
      <c r="B237" s="6">
        <v>101.1</v>
      </c>
      <c r="C237" s="6">
        <v>100.38</v>
      </c>
      <c r="D237" s="6">
        <v>101.33</v>
      </c>
      <c r="E237" s="6">
        <v>99.4</v>
      </c>
      <c r="F237" s="6" t="s">
        <v>158</v>
      </c>
      <c r="G237" s="23">
        <v>7.1999999999999998E-3</v>
      </c>
    </row>
    <row r="238" spans="1:7" x14ac:dyDescent="0.3">
      <c r="A238" s="21">
        <v>45658</v>
      </c>
      <c r="B238" s="6">
        <v>100.38</v>
      </c>
      <c r="C238" s="6">
        <v>100.55</v>
      </c>
      <c r="D238" s="6">
        <v>100.87</v>
      </c>
      <c r="E238" s="6">
        <v>99.25</v>
      </c>
      <c r="F238" s="6" t="s">
        <v>234</v>
      </c>
      <c r="G238" s="23">
        <v>2.5999999999999999E-3</v>
      </c>
    </row>
    <row r="239" spans="1:7" x14ac:dyDescent="0.3">
      <c r="A239" s="21">
        <v>45657</v>
      </c>
      <c r="B239" s="6">
        <v>100.12</v>
      </c>
      <c r="C239" s="6">
        <v>99.05</v>
      </c>
      <c r="D239" s="6">
        <v>100.48</v>
      </c>
      <c r="E239" s="6">
        <v>99.01</v>
      </c>
      <c r="F239" s="6" t="s">
        <v>235</v>
      </c>
      <c r="G239" s="23">
        <v>6.7999999999999996E-3</v>
      </c>
    </row>
    <row r="240" spans="1:7" x14ac:dyDescent="0.3">
      <c r="A240" s="21">
        <v>45656</v>
      </c>
      <c r="B240" s="6">
        <v>99.44</v>
      </c>
      <c r="C240" s="6">
        <v>100.36</v>
      </c>
      <c r="D240" s="6">
        <v>101.39</v>
      </c>
      <c r="E240" s="6">
        <v>98.7</v>
      </c>
      <c r="F240" s="6" t="s">
        <v>236</v>
      </c>
      <c r="G240" s="23">
        <v>-9.1999999999999998E-3</v>
      </c>
    </row>
    <row r="241" spans="1:7" x14ac:dyDescent="0.3">
      <c r="A241" s="21">
        <v>45653</v>
      </c>
      <c r="B241" s="6">
        <v>100.36</v>
      </c>
      <c r="C241" s="6">
        <v>101.03</v>
      </c>
      <c r="D241" s="6">
        <v>101.87</v>
      </c>
      <c r="E241" s="6">
        <v>100.2</v>
      </c>
      <c r="F241" s="6" t="s">
        <v>237</v>
      </c>
      <c r="G241" s="23">
        <v>-6.6E-3</v>
      </c>
    </row>
    <row r="242" spans="1:7" x14ac:dyDescent="0.3">
      <c r="A242" s="21">
        <v>45652</v>
      </c>
      <c r="B242" s="6">
        <v>101.03</v>
      </c>
      <c r="C242" s="6">
        <v>100.8</v>
      </c>
      <c r="D242" s="6">
        <v>102.63</v>
      </c>
      <c r="E242" s="6">
        <v>100.5</v>
      </c>
      <c r="F242" s="6" t="s">
        <v>238</v>
      </c>
      <c r="G242" s="23">
        <v>4.7999999999999996E-3</v>
      </c>
    </row>
    <row r="243" spans="1:7" x14ac:dyDescent="0.3">
      <c r="A243" s="21">
        <v>45650</v>
      </c>
      <c r="B243" s="6">
        <v>100.55</v>
      </c>
      <c r="C243" s="6">
        <v>100.99</v>
      </c>
      <c r="D243" s="6">
        <v>101.45</v>
      </c>
      <c r="E243" s="6">
        <v>99.81</v>
      </c>
      <c r="F243" s="6" t="s">
        <v>239</v>
      </c>
      <c r="G243" s="23">
        <v>-5.1999999999999998E-3</v>
      </c>
    </row>
    <row r="244" spans="1:7" x14ac:dyDescent="0.3">
      <c r="A244" s="21">
        <v>45649</v>
      </c>
      <c r="B244" s="6">
        <v>101.08</v>
      </c>
      <c r="C244" s="6">
        <v>101.1</v>
      </c>
      <c r="D244" s="6">
        <v>101.99</v>
      </c>
      <c r="E244" s="6">
        <v>99.1</v>
      </c>
      <c r="F244" s="6" t="s">
        <v>240</v>
      </c>
      <c r="G244" s="23">
        <v>1.4800000000000001E-2</v>
      </c>
    </row>
    <row r="245" spans="1:7" x14ac:dyDescent="0.3">
      <c r="A245" s="21">
        <v>45646</v>
      </c>
      <c r="B245" s="6">
        <v>99.61</v>
      </c>
      <c r="C245" s="6">
        <v>102.55</v>
      </c>
      <c r="D245" s="6">
        <v>103.29</v>
      </c>
      <c r="E245" s="6">
        <v>99.37</v>
      </c>
      <c r="F245" s="6" t="s">
        <v>241</v>
      </c>
      <c r="G245" s="23">
        <v>-3.2000000000000001E-2</v>
      </c>
    </row>
    <row r="246" spans="1:7" x14ac:dyDescent="0.3">
      <c r="A246" s="21">
        <v>45645</v>
      </c>
      <c r="B246" s="6">
        <v>102.9</v>
      </c>
      <c r="C246" s="6">
        <v>101</v>
      </c>
      <c r="D246" s="6">
        <v>104.02</v>
      </c>
      <c r="E246" s="6">
        <v>100</v>
      </c>
      <c r="F246" s="6" t="s">
        <v>242</v>
      </c>
      <c r="G246" s="23">
        <v>-2.8E-3</v>
      </c>
    </row>
    <row r="247" spans="1:7" x14ac:dyDescent="0.3">
      <c r="A247" s="21">
        <v>45644</v>
      </c>
      <c r="B247" s="6">
        <v>103.19</v>
      </c>
      <c r="C247" s="6">
        <v>104.43</v>
      </c>
      <c r="D247" s="6">
        <v>105</v>
      </c>
      <c r="E247" s="6">
        <v>102.8</v>
      </c>
      <c r="F247" s="6" t="s">
        <v>243</v>
      </c>
      <c r="G247" s="23">
        <v>-1.8700000000000001E-2</v>
      </c>
    </row>
    <row r="248" spans="1:7" x14ac:dyDescent="0.3">
      <c r="A248" s="21">
        <v>45643</v>
      </c>
      <c r="B248" s="6">
        <v>105.16</v>
      </c>
      <c r="C248" s="6">
        <v>106.69</v>
      </c>
      <c r="D248" s="6">
        <v>107.3</v>
      </c>
      <c r="E248" s="6">
        <v>105</v>
      </c>
      <c r="F248" s="6" t="s">
        <v>244</v>
      </c>
      <c r="G248" s="23">
        <v>-2.0299999999999999E-2</v>
      </c>
    </row>
    <row r="249" spans="1:7" x14ac:dyDescent="0.3">
      <c r="A249" s="21">
        <v>45642</v>
      </c>
      <c r="B249" s="6">
        <v>107.34</v>
      </c>
      <c r="C249" s="6">
        <v>106.5</v>
      </c>
      <c r="D249" s="6">
        <v>108.41</v>
      </c>
      <c r="E249" s="6">
        <v>106.43</v>
      </c>
      <c r="F249" s="6" t="s">
        <v>245</v>
      </c>
      <c r="G249" s="23">
        <v>7.1000000000000004E-3</v>
      </c>
    </row>
    <row r="250" spans="1:7" x14ac:dyDescent="0.3">
      <c r="A250" s="21">
        <v>45639</v>
      </c>
      <c r="B250" s="6">
        <v>106.58</v>
      </c>
      <c r="C250" s="6">
        <v>107</v>
      </c>
      <c r="D250" s="6">
        <v>107.49</v>
      </c>
      <c r="E250" s="6">
        <v>104</v>
      </c>
      <c r="F250" s="6" t="s">
        <v>261</v>
      </c>
      <c r="G250" s="23">
        <v>-8.6E-3</v>
      </c>
    </row>
    <row r="251" spans="1:7" x14ac:dyDescent="0.3">
      <c r="A251" s="21">
        <v>45638</v>
      </c>
      <c r="B251" s="6">
        <v>107.5</v>
      </c>
      <c r="C251" s="6">
        <v>108.11</v>
      </c>
      <c r="D251" s="6">
        <v>108.75</v>
      </c>
      <c r="E251" s="6">
        <v>107.35</v>
      </c>
      <c r="F251" s="6" t="s">
        <v>262</v>
      </c>
      <c r="G251" s="23">
        <v>-1.15E-2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997C-D29B-4678-9771-4F25DDABAC60}">
  <dimension ref="A1:N251"/>
  <sheetViews>
    <sheetView tabSelected="1" workbookViewId="0">
      <selection activeCell="B11" sqref="B11"/>
    </sheetView>
  </sheetViews>
  <sheetFormatPr defaultRowHeight="14.4" x14ac:dyDescent="0.3"/>
  <cols>
    <col min="1" max="1" width="20.44140625" customWidth="1"/>
    <col min="2" max="4" width="16.6640625" customWidth="1"/>
    <col min="12" max="12" width="10.33203125" bestFit="1" customWidth="1"/>
  </cols>
  <sheetData>
    <row r="1" spans="1:14" x14ac:dyDescent="0.3">
      <c r="A1" t="s">
        <v>246</v>
      </c>
      <c r="B1" t="s">
        <v>248</v>
      </c>
      <c r="F1" s="5" t="s">
        <v>264</v>
      </c>
      <c r="L1" s="20" t="s">
        <v>0</v>
      </c>
      <c r="M1" s="20" t="s">
        <v>1</v>
      </c>
      <c r="N1" s="20" t="s">
        <v>263</v>
      </c>
    </row>
    <row r="2" spans="1:14" x14ac:dyDescent="0.3">
      <c r="A2" t="s">
        <v>247</v>
      </c>
      <c r="B2" t="s">
        <v>249</v>
      </c>
      <c r="F2" t="s">
        <v>273</v>
      </c>
      <c r="L2" s="21">
        <v>46003</v>
      </c>
      <c r="M2" s="6">
        <v>146.63</v>
      </c>
      <c r="N2" s="6"/>
    </row>
    <row r="3" spans="1:14" x14ac:dyDescent="0.3">
      <c r="A3" t="s">
        <v>250</v>
      </c>
      <c r="B3" s="1">
        <v>46005</v>
      </c>
      <c r="L3" s="21">
        <v>46002</v>
      </c>
      <c r="M3" s="6">
        <v>146.80000000000001</v>
      </c>
      <c r="N3" s="22">
        <f>M3/M2-1</f>
        <v>1.1593807542795709E-3</v>
      </c>
    </row>
    <row r="4" spans="1:14" x14ac:dyDescent="0.3">
      <c r="A4" t="s">
        <v>251</v>
      </c>
      <c r="B4" s="1">
        <v>46049</v>
      </c>
      <c r="L4" s="21">
        <v>46001</v>
      </c>
      <c r="M4" s="6">
        <v>145.56</v>
      </c>
      <c r="N4" s="22">
        <f t="shared" ref="N4:N67" si="0">M4/M3-1</f>
        <v>-8.4468664850136932E-3</v>
      </c>
    </row>
    <row r="5" spans="1:14" x14ac:dyDescent="0.3">
      <c r="A5" t="s">
        <v>253</v>
      </c>
      <c r="B5">
        <v>146.63</v>
      </c>
      <c r="L5" s="21">
        <v>46000</v>
      </c>
      <c r="M5" s="6">
        <v>146.19</v>
      </c>
      <c r="N5" s="22">
        <f t="shared" si="0"/>
        <v>4.3281121187139782E-3</v>
      </c>
    </row>
    <row r="6" spans="1:14" x14ac:dyDescent="0.3">
      <c r="A6" t="s">
        <v>252</v>
      </c>
      <c r="B6" s="3">
        <v>155</v>
      </c>
      <c r="L6" s="21">
        <v>45999</v>
      </c>
      <c r="M6" s="6">
        <v>142.84</v>
      </c>
      <c r="N6" s="22">
        <f t="shared" si="0"/>
        <v>-2.2915384089198909E-2</v>
      </c>
    </row>
    <row r="7" spans="1:14" x14ac:dyDescent="0.3">
      <c r="A7" t="s">
        <v>260</v>
      </c>
      <c r="B7" s="2">
        <f>(B4-B3)/365</f>
        <v>0.12054794520547946</v>
      </c>
      <c r="L7" s="21">
        <v>45996</v>
      </c>
      <c r="M7" s="6">
        <v>148.63999999999999</v>
      </c>
      <c r="N7" s="22">
        <f t="shared" si="0"/>
        <v>4.0604872584710128E-2</v>
      </c>
    </row>
    <row r="8" spans="1:14" x14ac:dyDescent="0.3">
      <c r="A8" t="s">
        <v>254</v>
      </c>
      <c r="B8" s="2">
        <f>6.62/100</f>
        <v>6.6199999999999995E-2</v>
      </c>
      <c r="L8" s="21">
        <v>45995</v>
      </c>
      <c r="M8" s="6">
        <v>147.38999999999999</v>
      </c>
      <c r="N8" s="22">
        <f t="shared" si="0"/>
        <v>-8.409580193756705E-3</v>
      </c>
    </row>
    <row r="9" spans="1:14" x14ac:dyDescent="0.3">
      <c r="A9" t="s">
        <v>256</v>
      </c>
      <c r="B9" s="4">
        <f>_xlfn.STDEV.S(N3:N251)</f>
        <v>1.8509059536277607E-2</v>
      </c>
      <c r="L9" s="21">
        <v>45994</v>
      </c>
      <c r="M9" s="6">
        <v>146.08000000000001</v>
      </c>
      <c r="N9" s="22">
        <f t="shared" si="0"/>
        <v>-8.88798425944759E-3</v>
      </c>
    </row>
    <row r="10" spans="1:14" x14ac:dyDescent="0.3">
      <c r="A10" t="s">
        <v>255</v>
      </c>
      <c r="B10" s="4">
        <f>B9*SQRT(252)</f>
        <v>0.29382221120807428</v>
      </c>
      <c r="L10" s="21">
        <v>45993</v>
      </c>
      <c r="M10" s="6">
        <v>152.03</v>
      </c>
      <c r="N10" s="22">
        <f t="shared" si="0"/>
        <v>4.0731106243154347E-2</v>
      </c>
    </row>
    <row r="11" spans="1:14" x14ac:dyDescent="0.3">
      <c r="A11" t="s">
        <v>257</v>
      </c>
      <c r="B11" s="2">
        <f>(LN(B5/B6)+((B8+((B10*B10)/2))*B7)/(B10*SQRT(B7)))</f>
        <v>7.3721235283532832E-2</v>
      </c>
      <c r="L11" s="21">
        <v>45992</v>
      </c>
      <c r="M11" s="6">
        <v>150.5</v>
      </c>
      <c r="N11" s="22">
        <f t="shared" si="0"/>
        <v>-1.0063803196737497E-2</v>
      </c>
    </row>
    <row r="12" spans="1:14" x14ac:dyDescent="0.3">
      <c r="A12" t="s">
        <v>258</v>
      </c>
      <c r="B12" s="2">
        <f>(LN(B5/B6)+((B8-((B10*B10)/2))*B7)/(B10*SQRT(B7)))</f>
        <v>-2.8293880963607368E-2</v>
      </c>
      <c r="L12" s="21">
        <v>45989</v>
      </c>
      <c r="M12" s="6">
        <v>151.58000000000001</v>
      </c>
      <c r="N12" s="22">
        <f t="shared" si="0"/>
        <v>7.1760797342192983E-3</v>
      </c>
    </row>
    <row r="13" spans="1:14" x14ac:dyDescent="0.3">
      <c r="A13" t="s">
        <v>259</v>
      </c>
      <c r="B13" s="4">
        <f>B22/B5</f>
        <v>2.7279547159517154E-2</v>
      </c>
      <c r="L13" s="21">
        <v>45988</v>
      </c>
      <c r="M13" s="6">
        <v>151.76</v>
      </c>
      <c r="N13" s="22">
        <f t="shared" si="0"/>
        <v>1.1874917535292795E-3</v>
      </c>
    </row>
    <row r="14" spans="1:14" ht="15" thickBot="1" x14ac:dyDescent="0.35">
      <c r="F14" t="s">
        <v>276</v>
      </c>
      <c r="L14" s="21">
        <v>45987</v>
      </c>
      <c r="M14" s="6">
        <v>150.16</v>
      </c>
      <c r="N14" s="22">
        <f>M14/M13-1</f>
        <v>-1.0542962572482883E-2</v>
      </c>
    </row>
    <row r="15" spans="1:14" x14ac:dyDescent="0.3">
      <c r="A15" s="12" t="s">
        <v>265</v>
      </c>
      <c r="B15" s="13" t="s">
        <v>278</v>
      </c>
      <c r="C15" s="13" t="s">
        <v>266</v>
      </c>
      <c r="D15" s="14" t="s">
        <v>267</v>
      </c>
      <c r="L15" s="21">
        <v>45986</v>
      </c>
      <c r="M15" s="6">
        <v>148.69</v>
      </c>
      <c r="N15" s="22">
        <f>M15/M14-1</f>
        <v>-9.789557805008009E-3</v>
      </c>
    </row>
    <row r="16" spans="1:14" x14ac:dyDescent="0.3">
      <c r="A16" s="7" t="s">
        <v>268</v>
      </c>
      <c r="B16" s="15">
        <f>B5*_xlfn.NORM.S.DIST(B11,TRUE)-B6*EXP(-B8*B7)*_xlfn.NORM.S.DIST(B12,TRUE)</f>
        <v>2.4750149527875749</v>
      </c>
      <c r="C16" s="17">
        <v>2.6</v>
      </c>
      <c r="D16" s="8" t="s">
        <v>272</v>
      </c>
      <c r="L16" s="21">
        <v>45985</v>
      </c>
      <c r="M16" s="6">
        <v>146.66999999999999</v>
      </c>
      <c r="N16" s="22">
        <f t="shared" si="0"/>
        <v>-1.3585311722375426E-2</v>
      </c>
    </row>
    <row r="17" spans="1:14" x14ac:dyDescent="0.3">
      <c r="A17" s="7" t="s">
        <v>269</v>
      </c>
      <c r="B17" s="15">
        <f>B6*EXP(-B8*B7)*_xlfn.NORM.S.DIST(-B12,TRUE)-B5*_xlfn.NORM.S.DIST(-B11,TRUE)</f>
        <v>9.6129949540017066</v>
      </c>
      <c r="C17" s="6">
        <v>9.69</v>
      </c>
      <c r="D17" s="8" t="s">
        <v>272</v>
      </c>
      <c r="L17" s="21">
        <v>45982</v>
      </c>
      <c r="M17" s="6">
        <v>145.77000000000001</v>
      </c>
      <c r="N17" s="22">
        <f t="shared" si="0"/>
        <v>-6.1362241767231041E-3</v>
      </c>
    </row>
    <row r="18" spans="1:14" x14ac:dyDescent="0.3">
      <c r="A18" s="7" t="s">
        <v>270</v>
      </c>
      <c r="B18" s="15">
        <f>B5*EXP(-B13*B7)*_xlfn.NORM.S.DIST(B11,TRUE)-B6*EXP(-B8*B7)*_xlfn.NORM.S.DIST(B12,TRUE)</f>
        <v>2.2201696458695608</v>
      </c>
      <c r="C18" s="17">
        <v>2.6</v>
      </c>
      <c r="D18" s="8" t="s">
        <v>272</v>
      </c>
      <c r="L18" s="21">
        <v>45981</v>
      </c>
      <c r="M18" s="6">
        <v>147.94</v>
      </c>
      <c r="N18" s="22">
        <f t="shared" si="0"/>
        <v>1.488646497907653E-2</v>
      </c>
    </row>
    <row r="19" spans="1:14" ht="15" thickBot="1" x14ac:dyDescent="0.35">
      <c r="A19" s="9" t="s">
        <v>271</v>
      </c>
      <c r="B19" s="16">
        <f>B6*EXP(-B8*B7)*_xlfn.NORM.S.DIST(-B12,TRUE)-B5*EXP(-B13*B7)*_xlfn.NORM.S.DIST(-B11,TRUE)</f>
        <v>9.8395494540432225</v>
      </c>
      <c r="C19" s="10">
        <v>9.69</v>
      </c>
      <c r="D19" s="11" t="s">
        <v>277</v>
      </c>
      <c r="L19" s="21">
        <v>45980</v>
      </c>
      <c r="M19" s="6">
        <v>150.38</v>
      </c>
      <c r="N19" s="22">
        <f t="shared" si="0"/>
        <v>1.6493172907935616E-2</v>
      </c>
    </row>
    <row r="20" spans="1:14" ht="15" thickBot="1" x14ac:dyDescent="0.35">
      <c r="L20" s="21">
        <v>45979</v>
      </c>
      <c r="M20" s="6">
        <v>149</v>
      </c>
      <c r="N20" s="22">
        <f t="shared" si="0"/>
        <v>-9.1767522276898772E-3</v>
      </c>
    </row>
    <row r="21" spans="1:14" x14ac:dyDescent="0.3">
      <c r="A21" s="12" t="s">
        <v>274</v>
      </c>
      <c r="B21" s="14" t="s">
        <v>275</v>
      </c>
      <c r="L21" s="21">
        <v>45978</v>
      </c>
      <c r="M21" s="6">
        <v>149.12</v>
      </c>
      <c r="N21" s="22">
        <f t="shared" si="0"/>
        <v>8.0536912751671963E-4</v>
      </c>
    </row>
    <row r="22" spans="1:14" ht="15" thickBot="1" x14ac:dyDescent="0.35">
      <c r="A22" s="18">
        <v>45821</v>
      </c>
      <c r="B22" s="19">
        <v>4</v>
      </c>
      <c r="L22" s="21">
        <v>45975</v>
      </c>
      <c r="M22" s="6">
        <v>146.07</v>
      </c>
      <c r="N22" s="22">
        <f t="shared" si="0"/>
        <v>-2.0453326180257636E-2</v>
      </c>
    </row>
    <row r="23" spans="1:14" x14ac:dyDescent="0.3">
      <c r="L23" s="21">
        <v>45974</v>
      </c>
      <c r="M23" s="6">
        <v>143.44999999999999</v>
      </c>
      <c r="N23" s="22">
        <f t="shared" si="0"/>
        <v>-1.7936605736975419E-2</v>
      </c>
    </row>
    <row r="24" spans="1:14" x14ac:dyDescent="0.3">
      <c r="L24" s="21">
        <v>45973</v>
      </c>
      <c r="M24" s="6">
        <v>143.57</v>
      </c>
      <c r="N24" s="22">
        <f t="shared" si="0"/>
        <v>8.3652840711057053E-4</v>
      </c>
    </row>
    <row r="25" spans="1:14" x14ac:dyDescent="0.3">
      <c r="L25" s="21">
        <v>45972</v>
      </c>
      <c r="M25" s="6">
        <v>140.87</v>
      </c>
      <c r="N25" s="22">
        <f t="shared" si="0"/>
        <v>-1.8806157275196744E-2</v>
      </c>
    </row>
    <row r="26" spans="1:14" x14ac:dyDescent="0.3">
      <c r="L26" s="21">
        <v>45971</v>
      </c>
      <c r="M26" s="6">
        <v>141.04</v>
      </c>
      <c r="N26" s="22">
        <f t="shared" si="0"/>
        <v>1.2067863988072247E-3</v>
      </c>
    </row>
    <row r="27" spans="1:14" x14ac:dyDescent="0.3">
      <c r="L27" s="21">
        <v>45968</v>
      </c>
      <c r="M27" s="6">
        <v>140.66999999999999</v>
      </c>
      <c r="N27" s="22">
        <f t="shared" si="0"/>
        <v>-2.6233692569483935E-3</v>
      </c>
    </row>
    <row r="28" spans="1:14" x14ac:dyDescent="0.3">
      <c r="L28" s="21">
        <v>45967</v>
      </c>
      <c r="M28" s="6">
        <v>139.24</v>
      </c>
      <c r="N28" s="22">
        <f t="shared" si="0"/>
        <v>-1.0165635885405422E-2</v>
      </c>
    </row>
    <row r="29" spans="1:14" x14ac:dyDescent="0.3">
      <c r="L29" s="21">
        <v>45965</v>
      </c>
      <c r="M29" s="6">
        <v>139.6</v>
      </c>
      <c r="N29" s="22">
        <f t="shared" si="0"/>
        <v>2.5854639471414309E-3</v>
      </c>
    </row>
    <row r="30" spans="1:14" x14ac:dyDescent="0.3">
      <c r="L30" s="21">
        <v>45964</v>
      </c>
      <c r="M30" s="6">
        <v>139.6</v>
      </c>
      <c r="N30" s="22">
        <f t="shared" si="0"/>
        <v>0</v>
      </c>
    </row>
    <row r="31" spans="1:14" x14ac:dyDescent="0.3">
      <c r="L31" s="21">
        <v>45961</v>
      </c>
      <c r="M31" s="6">
        <v>136.99</v>
      </c>
      <c r="N31" s="22">
        <f t="shared" si="0"/>
        <v>-1.8696275071633184E-2</v>
      </c>
    </row>
    <row r="32" spans="1:14" x14ac:dyDescent="0.3">
      <c r="L32" s="21">
        <v>45960</v>
      </c>
      <c r="M32" s="6">
        <v>132.88999999999999</v>
      </c>
      <c r="N32" s="22">
        <f t="shared" si="0"/>
        <v>-2.9929191911818531E-2</v>
      </c>
    </row>
    <row r="33" spans="12:14" x14ac:dyDescent="0.3">
      <c r="L33" s="21">
        <v>45959</v>
      </c>
      <c r="M33" s="6">
        <v>128.77000000000001</v>
      </c>
      <c r="N33" s="22">
        <f t="shared" si="0"/>
        <v>-3.1003085258484275E-2</v>
      </c>
    </row>
    <row r="34" spans="12:14" x14ac:dyDescent="0.3">
      <c r="L34" s="21">
        <v>45958</v>
      </c>
      <c r="M34" s="6">
        <v>129.97999999999999</v>
      </c>
      <c r="N34" s="22">
        <f t="shared" si="0"/>
        <v>9.396598586627114E-3</v>
      </c>
    </row>
    <row r="35" spans="12:14" x14ac:dyDescent="0.3">
      <c r="L35" s="21">
        <v>45957</v>
      </c>
      <c r="M35" s="6">
        <v>129.13</v>
      </c>
      <c r="N35" s="22">
        <f t="shared" si="0"/>
        <v>-6.5394676104015836E-3</v>
      </c>
    </row>
    <row r="36" spans="12:14" x14ac:dyDescent="0.3">
      <c r="L36" s="21">
        <v>45954</v>
      </c>
      <c r="M36" s="6">
        <v>125.7</v>
      </c>
      <c r="N36" s="22">
        <f t="shared" si="0"/>
        <v>-2.6562378997909031E-2</v>
      </c>
    </row>
    <row r="37" spans="12:14" x14ac:dyDescent="0.3">
      <c r="L37" s="21">
        <v>45953</v>
      </c>
      <c r="M37" s="6">
        <v>126.24</v>
      </c>
      <c r="N37" s="22">
        <f t="shared" si="0"/>
        <v>4.2959427207636125E-3</v>
      </c>
    </row>
    <row r="38" spans="12:14" x14ac:dyDescent="0.3">
      <c r="L38" s="21">
        <v>45951</v>
      </c>
      <c r="M38" s="6">
        <v>127.12</v>
      </c>
      <c r="N38" s="22">
        <f t="shared" si="0"/>
        <v>6.9708491761724112E-3</v>
      </c>
    </row>
    <row r="39" spans="12:14" x14ac:dyDescent="0.3">
      <c r="L39" s="21">
        <v>45950</v>
      </c>
      <c r="M39" s="6">
        <v>127.59</v>
      </c>
      <c r="N39" s="22">
        <f t="shared" si="0"/>
        <v>3.6972938955317503E-3</v>
      </c>
    </row>
    <row r="40" spans="12:14" x14ac:dyDescent="0.3">
      <c r="L40" s="21">
        <v>45947</v>
      </c>
      <c r="M40" s="6">
        <v>125.49</v>
      </c>
      <c r="N40" s="22">
        <f t="shared" si="0"/>
        <v>-1.6458970138725659E-2</v>
      </c>
    </row>
    <row r="41" spans="12:14" x14ac:dyDescent="0.3">
      <c r="L41" s="21">
        <v>45946</v>
      </c>
      <c r="M41" s="6">
        <v>127.37</v>
      </c>
      <c r="N41" s="22">
        <f t="shared" si="0"/>
        <v>1.4981273408239737E-2</v>
      </c>
    </row>
    <row r="42" spans="12:14" x14ac:dyDescent="0.3">
      <c r="L42" s="21">
        <v>45945</v>
      </c>
      <c r="M42" s="6">
        <v>128.41</v>
      </c>
      <c r="N42" s="22">
        <f t="shared" si="0"/>
        <v>8.1651880348589945E-3</v>
      </c>
    </row>
    <row r="43" spans="12:14" x14ac:dyDescent="0.3">
      <c r="L43" s="21">
        <v>45944</v>
      </c>
      <c r="M43" s="6">
        <v>125.22</v>
      </c>
      <c r="N43" s="22">
        <f t="shared" si="0"/>
        <v>-2.4842302001401695E-2</v>
      </c>
    </row>
    <row r="44" spans="12:14" x14ac:dyDescent="0.3">
      <c r="L44" s="21">
        <v>45943</v>
      </c>
      <c r="M44" s="6">
        <v>127.64</v>
      </c>
      <c r="N44" s="22">
        <f t="shared" si="0"/>
        <v>1.9325986264175032E-2</v>
      </c>
    </row>
    <row r="45" spans="12:14" x14ac:dyDescent="0.3">
      <c r="L45" s="21">
        <v>45940</v>
      </c>
      <c r="M45" s="6">
        <v>127.39</v>
      </c>
      <c r="N45" s="22">
        <f t="shared" si="0"/>
        <v>-1.9586336571607577E-3</v>
      </c>
    </row>
    <row r="46" spans="12:14" x14ac:dyDescent="0.3">
      <c r="L46" s="21">
        <v>45939</v>
      </c>
      <c r="M46" s="6">
        <v>126.17</v>
      </c>
      <c r="N46" s="22">
        <f t="shared" si="0"/>
        <v>-9.5768898657665469E-3</v>
      </c>
    </row>
    <row r="47" spans="12:14" x14ac:dyDescent="0.3">
      <c r="L47" s="21">
        <v>45938</v>
      </c>
      <c r="M47" s="6">
        <v>126.04</v>
      </c>
      <c r="N47" s="22">
        <f t="shared" si="0"/>
        <v>-1.0303558690655246E-3</v>
      </c>
    </row>
    <row r="48" spans="12:14" x14ac:dyDescent="0.3">
      <c r="L48" s="21">
        <v>45937</v>
      </c>
      <c r="M48" s="6">
        <v>128.06</v>
      </c>
      <c r="N48" s="22">
        <f t="shared" si="0"/>
        <v>1.6026658203744715E-2</v>
      </c>
    </row>
    <row r="49" spans="12:14" x14ac:dyDescent="0.3">
      <c r="L49" s="21">
        <v>45936</v>
      </c>
      <c r="M49" s="6">
        <v>126.76</v>
      </c>
      <c r="N49" s="22">
        <f t="shared" si="0"/>
        <v>-1.0151491488364806E-2</v>
      </c>
    </row>
    <row r="50" spans="12:14" x14ac:dyDescent="0.3">
      <c r="L50" s="21">
        <v>45933</v>
      </c>
      <c r="M50" s="6">
        <v>125.9</v>
      </c>
      <c r="N50" s="22">
        <f t="shared" si="0"/>
        <v>-6.7844745976648468E-3</v>
      </c>
    </row>
    <row r="51" spans="12:14" x14ac:dyDescent="0.3">
      <c r="L51" s="21">
        <v>45931</v>
      </c>
      <c r="M51" s="6">
        <v>123.76</v>
      </c>
      <c r="N51" s="22">
        <f t="shared" si="0"/>
        <v>-1.699761715647341E-2</v>
      </c>
    </row>
    <row r="52" spans="12:14" x14ac:dyDescent="0.3">
      <c r="L52" s="21">
        <v>45930</v>
      </c>
      <c r="M52" s="6">
        <v>123.71</v>
      </c>
      <c r="N52" s="22">
        <f t="shared" si="0"/>
        <v>-4.0400775694904301E-4</v>
      </c>
    </row>
    <row r="53" spans="12:14" x14ac:dyDescent="0.3">
      <c r="L53" s="21">
        <v>45929</v>
      </c>
      <c r="M53" s="6">
        <v>120.48</v>
      </c>
      <c r="N53" s="22">
        <f t="shared" si="0"/>
        <v>-2.6109449519036376E-2</v>
      </c>
    </row>
    <row r="54" spans="12:14" x14ac:dyDescent="0.3">
      <c r="L54" s="21">
        <v>45926</v>
      </c>
      <c r="M54" s="6">
        <v>118.08</v>
      </c>
      <c r="N54" s="22">
        <f t="shared" si="0"/>
        <v>-1.9920318725099695E-2</v>
      </c>
    </row>
    <row r="55" spans="12:14" x14ac:dyDescent="0.3">
      <c r="L55" s="21">
        <v>45925</v>
      </c>
      <c r="M55" s="6">
        <v>121.44</v>
      </c>
      <c r="N55" s="22">
        <f t="shared" si="0"/>
        <v>2.8455284552845628E-2</v>
      </c>
    </row>
    <row r="56" spans="12:14" x14ac:dyDescent="0.3">
      <c r="L56" s="21">
        <v>45924</v>
      </c>
      <c r="M56" s="6">
        <v>122.91</v>
      </c>
      <c r="N56" s="22">
        <f t="shared" si="0"/>
        <v>1.210474308300391E-2</v>
      </c>
    </row>
    <row r="57" spans="12:14" x14ac:dyDescent="0.3">
      <c r="L57" s="21">
        <v>45923</v>
      </c>
      <c r="M57" s="6">
        <v>121.9</v>
      </c>
      <c r="N57" s="22">
        <f t="shared" si="0"/>
        <v>-8.2173948417540998E-3</v>
      </c>
    </row>
    <row r="58" spans="12:14" x14ac:dyDescent="0.3">
      <c r="L58" s="21">
        <v>45922</v>
      </c>
      <c r="M58" s="6">
        <v>118.87</v>
      </c>
      <c r="N58" s="22">
        <f t="shared" si="0"/>
        <v>-2.4856439704675992E-2</v>
      </c>
    </row>
    <row r="59" spans="12:14" x14ac:dyDescent="0.3">
      <c r="L59" s="21">
        <v>45919</v>
      </c>
      <c r="M59" s="6">
        <v>117.76</v>
      </c>
      <c r="N59" s="22">
        <f t="shared" si="0"/>
        <v>-9.3379321948346972E-3</v>
      </c>
    </row>
    <row r="60" spans="12:14" x14ac:dyDescent="0.3">
      <c r="L60" s="21">
        <v>45918</v>
      </c>
      <c r="M60" s="6">
        <v>115.41</v>
      </c>
      <c r="N60" s="22">
        <f t="shared" si="0"/>
        <v>-1.9955842391304435E-2</v>
      </c>
    </row>
    <row r="61" spans="12:14" x14ac:dyDescent="0.3">
      <c r="L61" s="21">
        <v>45917</v>
      </c>
      <c r="M61" s="6">
        <v>116.25</v>
      </c>
      <c r="N61" s="22">
        <f t="shared" si="0"/>
        <v>7.2783987522744287E-3</v>
      </c>
    </row>
    <row r="62" spans="12:14" x14ac:dyDescent="0.3">
      <c r="L62" s="21">
        <v>45916</v>
      </c>
      <c r="M62" s="6">
        <v>113.23</v>
      </c>
      <c r="N62" s="22">
        <f t="shared" si="0"/>
        <v>-2.5978494623655868E-2</v>
      </c>
    </row>
    <row r="63" spans="12:14" x14ac:dyDescent="0.3">
      <c r="L63" s="21">
        <v>45915</v>
      </c>
      <c r="M63" s="6">
        <v>112.51</v>
      </c>
      <c r="N63" s="22">
        <f t="shared" si="0"/>
        <v>-6.358738850128054E-3</v>
      </c>
    </row>
    <row r="64" spans="12:14" x14ac:dyDescent="0.3">
      <c r="L64" s="21">
        <v>45912</v>
      </c>
      <c r="M64" s="6">
        <v>110.96</v>
      </c>
      <c r="N64" s="22">
        <f t="shared" si="0"/>
        <v>-1.3776553195271601E-2</v>
      </c>
    </row>
    <row r="65" spans="12:14" x14ac:dyDescent="0.3">
      <c r="L65" s="21">
        <v>45911</v>
      </c>
      <c r="M65" s="6">
        <v>112.07</v>
      </c>
      <c r="N65" s="22">
        <f t="shared" si="0"/>
        <v>1.0003604902667718E-2</v>
      </c>
    </row>
    <row r="66" spans="12:14" x14ac:dyDescent="0.3">
      <c r="L66" s="21">
        <v>45910</v>
      </c>
      <c r="M66" s="6">
        <v>110.64</v>
      </c>
      <c r="N66" s="22">
        <f t="shared" si="0"/>
        <v>-1.275988221647173E-2</v>
      </c>
    </row>
    <row r="67" spans="12:14" x14ac:dyDescent="0.3">
      <c r="L67" s="21">
        <v>45909</v>
      </c>
      <c r="M67" s="6">
        <v>108.04</v>
      </c>
      <c r="N67" s="22">
        <f t="shared" si="0"/>
        <v>-2.3499638467100459E-2</v>
      </c>
    </row>
    <row r="68" spans="12:14" x14ac:dyDescent="0.3">
      <c r="L68" s="21">
        <v>45908</v>
      </c>
      <c r="M68" s="6">
        <v>108.11</v>
      </c>
      <c r="N68" s="22">
        <f t="shared" ref="N68:N131" si="1">M68/M67-1</f>
        <v>6.4790818215465507E-4</v>
      </c>
    </row>
    <row r="69" spans="12:14" x14ac:dyDescent="0.3">
      <c r="L69" s="21">
        <v>45905</v>
      </c>
      <c r="M69" s="6">
        <v>107.14</v>
      </c>
      <c r="N69" s="22">
        <f t="shared" si="1"/>
        <v>-8.9723429839977387E-3</v>
      </c>
    </row>
    <row r="70" spans="12:14" x14ac:dyDescent="0.3">
      <c r="L70" s="21">
        <v>45904</v>
      </c>
      <c r="M70" s="6">
        <v>106.08</v>
      </c>
      <c r="N70" s="22">
        <f t="shared" si="1"/>
        <v>-9.8935971625909724E-3</v>
      </c>
    </row>
    <row r="71" spans="12:14" x14ac:dyDescent="0.3">
      <c r="L71" s="21">
        <v>45903</v>
      </c>
      <c r="M71" s="6">
        <v>108.33</v>
      </c>
      <c r="N71" s="22">
        <f t="shared" si="1"/>
        <v>2.1210407239818929E-2</v>
      </c>
    </row>
    <row r="72" spans="12:14" x14ac:dyDescent="0.3">
      <c r="L72" s="21">
        <v>45902</v>
      </c>
      <c r="M72" s="6">
        <v>106.16</v>
      </c>
      <c r="N72" s="22">
        <f t="shared" si="1"/>
        <v>-2.0031385581094852E-2</v>
      </c>
    </row>
    <row r="73" spans="12:14" x14ac:dyDescent="0.3">
      <c r="L73" s="21">
        <v>45901</v>
      </c>
      <c r="M73" s="6">
        <v>105.14</v>
      </c>
      <c r="N73" s="22">
        <f t="shared" si="1"/>
        <v>-9.6081386586284179E-3</v>
      </c>
    </row>
    <row r="74" spans="12:14" x14ac:dyDescent="0.3">
      <c r="L74" s="21">
        <v>45898</v>
      </c>
      <c r="M74" s="6">
        <v>103.83</v>
      </c>
      <c r="N74" s="22">
        <f t="shared" si="1"/>
        <v>-1.2459577705915992E-2</v>
      </c>
    </row>
    <row r="75" spans="12:14" x14ac:dyDescent="0.3">
      <c r="L75" s="21">
        <v>45897</v>
      </c>
      <c r="M75" s="6">
        <v>104.63</v>
      </c>
      <c r="N75" s="22">
        <f t="shared" si="1"/>
        <v>7.7049022440527359E-3</v>
      </c>
    </row>
    <row r="76" spans="12:14" x14ac:dyDescent="0.3">
      <c r="L76" s="21">
        <v>45895</v>
      </c>
      <c r="M76" s="6">
        <v>106.01</v>
      </c>
      <c r="N76" s="22">
        <f t="shared" si="1"/>
        <v>1.3189333843066198E-2</v>
      </c>
    </row>
    <row r="77" spans="12:14" x14ac:dyDescent="0.3">
      <c r="L77" s="21">
        <v>45894</v>
      </c>
      <c r="M77" s="6">
        <v>108.82</v>
      </c>
      <c r="N77" s="22">
        <f t="shared" si="1"/>
        <v>2.6506933308178438E-2</v>
      </c>
    </row>
    <row r="78" spans="12:14" x14ac:dyDescent="0.3">
      <c r="L78" s="21">
        <v>45891</v>
      </c>
      <c r="M78" s="6">
        <v>109.93</v>
      </c>
      <c r="N78" s="22">
        <f t="shared" si="1"/>
        <v>1.0200330821540371E-2</v>
      </c>
    </row>
    <row r="79" spans="12:14" x14ac:dyDescent="0.3">
      <c r="L79" s="21">
        <v>45890</v>
      </c>
      <c r="M79" s="6">
        <v>111.07</v>
      </c>
      <c r="N79" s="22">
        <f t="shared" si="1"/>
        <v>1.0370235604475475E-2</v>
      </c>
    </row>
    <row r="80" spans="12:14" x14ac:dyDescent="0.3">
      <c r="L80" s="21">
        <v>45889</v>
      </c>
      <c r="M80" s="6">
        <v>112.28</v>
      </c>
      <c r="N80" s="22">
        <f t="shared" si="1"/>
        <v>1.089403079139295E-2</v>
      </c>
    </row>
    <row r="81" spans="12:14" x14ac:dyDescent="0.3">
      <c r="L81" s="21">
        <v>45888</v>
      </c>
      <c r="M81" s="6">
        <v>111.67</v>
      </c>
      <c r="N81" s="22">
        <f t="shared" si="1"/>
        <v>-5.4328464552902966E-3</v>
      </c>
    </row>
    <row r="82" spans="12:14" x14ac:dyDescent="0.3">
      <c r="L82" s="21">
        <v>45887</v>
      </c>
      <c r="M82" s="6">
        <v>109.34</v>
      </c>
      <c r="N82" s="22">
        <f t="shared" si="1"/>
        <v>-2.0865048804513231E-2</v>
      </c>
    </row>
    <row r="83" spans="12:14" x14ac:dyDescent="0.3">
      <c r="L83" s="21">
        <v>45883</v>
      </c>
      <c r="M83" s="6">
        <v>109.26</v>
      </c>
      <c r="N83" s="22">
        <f t="shared" si="1"/>
        <v>-7.3166270349367402E-4</v>
      </c>
    </row>
    <row r="84" spans="12:14" x14ac:dyDescent="0.3">
      <c r="L84" s="21">
        <v>45882</v>
      </c>
      <c r="M84" s="6">
        <v>108.99</v>
      </c>
      <c r="N84" s="22">
        <f t="shared" si="1"/>
        <v>-2.4711696869852418E-3</v>
      </c>
    </row>
    <row r="85" spans="12:14" x14ac:dyDescent="0.3">
      <c r="L85" s="21">
        <v>45881</v>
      </c>
      <c r="M85" s="6">
        <v>109.55</v>
      </c>
      <c r="N85" s="22">
        <f t="shared" si="1"/>
        <v>5.138086062941527E-3</v>
      </c>
    </row>
    <row r="86" spans="12:14" x14ac:dyDescent="0.3">
      <c r="L86" s="21">
        <v>45880</v>
      </c>
      <c r="M86" s="6">
        <v>109.48</v>
      </c>
      <c r="N86" s="22">
        <f t="shared" si="1"/>
        <v>-6.3897763578268929E-4</v>
      </c>
    </row>
    <row r="87" spans="12:14" x14ac:dyDescent="0.3">
      <c r="L87" s="21">
        <v>45877</v>
      </c>
      <c r="M87" s="6">
        <v>107.89</v>
      </c>
      <c r="N87" s="22">
        <f t="shared" si="1"/>
        <v>-1.4523200584581675E-2</v>
      </c>
    </row>
    <row r="88" spans="12:14" x14ac:dyDescent="0.3">
      <c r="L88" s="21">
        <v>45876</v>
      </c>
      <c r="M88" s="6">
        <v>108.8</v>
      </c>
      <c r="N88" s="22">
        <f t="shared" si="1"/>
        <v>8.4345166373156477E-3</v>
      </c>
    </row>
    <row r="89" spans="12:14" x14ac:dyDescent="0.3">
      <c r="L89" s="21">
        <v>45875</v>
      </c>
      <c r="M89" s="6">
        <v>108.77</v>
      </c>
      <c r="N89" s="22">
        <f t="shared" si="1"/>
        <v>-2.7573529411761832E-4</v>
      </c>
    </row>
    <row r="90" spans="12:14" x14ac:dyDescent="0.3">
      <c r="L90" s="21">
        <v>45874</v>
      </c>
      <c r="M90" s="6">
        <v>107.46</v>
      </c>
      <c r="N90" s="22">
        <f t="shared" si="1"/>
        <v>-1.20437620667464E-2</v>
      </c>
    </row>
    <row r="91" spans="12:14" x14ac:dyDescent="0.3">
      <c r="L91" s="21">
        <v>45873</v>
      </c>
      <c r="M91" s="6">
        <v>107.75</v>
      </c>
      <c r="N91" s="22">
        <f t="shared" si="1"/>
        <v>2.6986785780755973E-3</v>
      </c>
    </row>
    <row r="92" spans="12:14" x14ac:dyDescent="0.3">
      <c r="L92" s="21">
        <v>45870</v>
      </c>
      <c r="M92" s="6">
        <v>105.89</v>
      </c>
      <c r="N92" s="22">
        <f t="shared" si="1"/>
        <v>-1.7262180974477959E-2</v>
      </c>
    </row>
    <row r="93" spans="12:14" x14ac:dyDescent="0.3">
      <c r="L93" s="21">
        <v>45869</v>
      </c>
      <c r="M93" s="6">
        <v>107.25</v>
      </c>
      <c r="N93" s="22">
        <f t="shared" si="1"/>
        <v>1.2843516857115933E-2</v>
      </c>
    </row>
    <row r="94" spans="12:14" x14ac:dyDescent="0.3">
      <c r="L94" s="21">
        <v>45868</v>
      </c>
      <c r="M94" s="6">
        <v>108.2</v>
      </c>
      <c r="N94" s="22">
        <f t="shared" si="1"/>
        <v>8.8578088578088465E-3</v>
      </c>
    </row>
    <row r="95" spans="12:14" x14ac:dyDescent="0.3">
      <c r="L95" s="21">
        <v>45867</v>
      </c>
      <c r="M95" s="6">
        <v>110.09</v>
      </c>
      <c r="N95" s="22">
        <f t="shared" si="1"/>
        <v>1.746765249537896E-2</v>
      </c>
    </row>
    <row r="96" spans="12:14" x14ac:dyDescent="0.3">
      <c r="L96" s="21">
        <v>45866</v>
      </c>
      <c r="M96" s="6">
        <v>110.41</v>
      </c>
      <c r="N96" s="22">
        <f t="shared" si="1"/>
        <v>2.9067126896176188E-3</v>
      </c>
    </row>
    <row r="97" spans="12:14" x14ac:dyDescent="0.3">
      <c r="L97" s="21">
        <v>45863</v>
      </c>
      <c r="M97" s="6">
        <v>110.76</v>
      </c>
      <c r="N97" s="22">
        <f t="shared" si="1"/>
        <v>3.1700027171452927E-3</v>
      </c>
    </row>
    <row r="98" spans="12:14" x14ac:dyDescent="0.3">
      <c r="L98" s="21">
        <v>45862</v>
      </c>
      <c r="M98" s="6">
        <v>113.51</v>
      </c>
      <c r="N98" s="22">
        <f t="shared" si="1"/>
        <v>2.4828457927049463E-2</v>
      </c>
    </row>
    <row r="99" spans="12:14" x14ac:dyDescent="0.3">
      <c r="L99" s="21">
        <v>45861</v>
      </c>
      <c r="M99" s="6">
        <v>107.8</v>
      </c>
      <c r="N99" s="22">
        <f t="shared" si="1"/>
        <v>-5.0303937979032765E-2</v>
      </c>
    </row>
    <row r="100" spans="12:14" x14ac:dyDescent="0.3">
      <c r="L100" s="21">
        <v>45860</v>
      </c>
      <c r="M100" s="6">
        <v>108.05</v>
      </c>
      <c r="N100" s="22">
        <f t="shared" si="1"/>
        <v>2.319109461966562E-3</v>
      </c>
    </row>
    <row r="101" spans="12:14" x14ac:dyDescent="0.3">
      <c r="L101" s="21">
        <v>45859</v>
      </c>
      <c r="M101" s="6">
        <v>112.03</v>
      </c>
      <c r="N101" s="22">
        <f t="shared" si="1"/>
        <v>3.6834798704303617E-2</v>
      </c>
    </row>
    <row r="102" spans="12:14" x14ac:dyDescent="0.3">
      <c r="L102" s="21">
        <v>45856</v>
      </c>
      <c r="M102" s="6">
        <v>114.45</v>
      </c>
      <c r="N102" s="22">
        <f t="shared" si="1"/>
        <v>2.16013567794342E-2</v>
      </c>
    </row>
    <row r="103" spans="12:14" x14ac:dyDescent="0.3">
      <c r="L103" s="21">
        <v>45855</v>
      </c>
      <c r="M103" s="6">
        <v>115.53</v>
      </c>
      <c r="N103" s="22">
        <f t="shared" si="1"/>
        <v>9.4364351245084244E-3</v>
      </c>
    </row>
    <row r="104" spans="12:14" x14ac:dyDescent="0.3">
      <c r="L104" s="21">
        <v>45854</v>
      </c>
      <c r="M104" s="6">
        <v>117.03</v>
      </c>
      <c r="N104" s="22">
        <f t="shared" si="1"/>
        <v>1.2983640612827863E-2</v>
      </c>
    </row>
    <row r="105" spans="12:14" x14ac:dyDescent="0.3">
      <c r="L105" s="21">
        <v>45853</v>
      </c>
      <c r="M105" s="6">
        <v>114.87</v>
      </c>
      <c r="N105" s="22">
        <f t="shared" si="1"/>
        <v>-1.8456805947193011E-2</v>
      </c>
    </row>
    <row r="106" spans="12:14" x14ac:dyDescent="0.3">
      <c r="L106" s="21">
        <v>45852</v>
      </c>
      <c r="M106" s="6">
        <v>113.67</v>
      </c>
      <c r="N106" s="22">
        <f t="shared" si="1"/>
        <v>-1.044659179942542E-2</v>
      </c>
    </row>
    <row r="107" spans="12:14" x14ac:dyDescent="0.3">
      <c r="L107" s="21">
        <v>45849</v>
      </c>
      <c r="M107" s="6">
        <v>111.92</v>
      </c>
      <c r="N107" s="22">
        <f t="shared" si="1"/>
        <v>-1.5395442948887172E-2</v>
      </c>
    </row>
    <row r="108" spans="12:14" x14ac:dyDescent="0.3">
      <c r="L108" s="21">
        <v>45848</v>
      </c>
      <c r="M108" s="6">
        <v>112.39</v>
      </c>
      <c r="N108" s="22">
        <f t="shared" si="1"/>
        <v>4.1994281629735841E-3</v>
      </c>
    </row>
    <row r="109" spans="12:14" x14ac:dyDescent="0.3">
      <c r="L109" s="21">
        <v>45847</v>
      </c>
      <c r="M109" s="6">
        <v>113.96</v>
      </c>
      <c r="N109" s="22">
        <f t="shared" si="1"/>
        <v>1.3969214342913094E-2</v>
      </c>
    </row>
    <row r="110" spans="12:14" x14ac:dyDescent="0.3">
      <c r="L110" s="21">
        <v>45846</v>
      </c>
      <c r="M110" s="6">
        <v>113.74</v>
      </c>
      <c r="N110" s="22">
        <f t="shared" si="1"/>
        <v>-1.9305019305019266E-3</v>
      </c>
    </row>
    <row r="111" spans="12:14" x14ac:dyDescent="0.3">
      <c r="L111" s="21">
        <v>45845</v>
      </c>
      <c r="M111" s="6">
        <v>114.31</v>
      </c>
      <c r="N111" s="22">
        <f t="shared" si="1"/>
        <v>5.0114295762264671E-3</v>
      </c>
    </row>
    <row r="112" spans="12:14" x14ac:dyDescent="0.3">
      <c r="L112" s="21">
        <v>45842</v>
      </c>
      <c r="M112" s="6">
        <v>114.37</v>
      </c>
      <c r="N112" s="22">
        <f t="shared" si="1"/>
        <v>5.2488846120191113E-4</v>
      </c>
    </row>
    <row r="113" spans="12:14" x14ac:dyDescent="0.3">
      <c r="L113" s="21">
        <v>45841</v>
      </c>
      <c r="M113" s="6">
        <v>114.16</v>
      </c>
      <c r="N113" s="22">
        <f t="shared" si="1"/>
        <v>-1.8361458424412946E-3</v>
      </c>
    </row>
    <row r="114" spans="12:14" x14ac:dyDescent="0.3">
      <c r="L114" s="21">
        <v>45840</v>
      </c>
      <c r="M114" s="6">
        <v>114.23</v>
      </c>
      <c r="N114" s="22">
        <f t="shared" si="1"/>
        <v>6.1317449194109308E-4</v>
      </c>
    </row>
    <row r="115" spans="12:14" x14ac:dyDescent="0.3">
      <c r="L115" s="21">
        <v>45839</v>
      </c>
      <c r="M115" s="6">
        <v>115.42</v>
      </c>
      <c r="N115" s="22">
        <f t="shared" si="1"/>
        <v>1.041757856955261E-2</v>
      </c>
    </row>
    <row r="116" spans="12:14" x14ac:dyDescent="0.3">
      <c r="L116" s="21">
        <v>45838</v>
      </c>
      <c r="M116" s="6">
        <v>114.2</v>
      </c>
      <c r="N116" s="22">
        <f t="shared" si="1"/>
        <v>-1.0570091838502882E-2</v>
      </c>
    </row>
    <row r="117" spans="12:14" x14ac:dyDescent="0.3">
      <c r="L117" s="21">
        <v>45835</v>
      </c>
      <c r="M117" s="6">
        <v>110.98</v>
      </c>
      <c r="N117" s="22">
        <f t="shared" si="1"/>
        <v>-2.8196147110332692E-2</v>
      </c>
    </row>
    <row r="118" spans="12:14" x14ac:dyDescent="0.3">
      <c r="L118" s="21">
        <v>45834</v>
      </c>
      <c r="M118" s="6">
        <v>111.07</v>
      </c>
      <c r="N118" s="22">
        <f t="shared" si="1"/>
        <v>8.1095692917632078E-4</v>
      </c>
    </row>
    <row r="119" spans="12:14" x14ac:dyDescent="0.3">
      <c r="L119" s="21">
        <v>45833</v>
      </c>
      <c r="M119" s="6">
        <v>110.71</v>
      </c>
      <c r="N119" s="22">
        <f t="shared" si="1"/>
        <v>-3.2411992437201276E-3</v>
      </c>
    </row>
    <row r="120" spans="12:14" x14ac:dyDescent="0.3">
      <c r="L120" s="21">
        <v>45832</v>
      </c>
      <c r="M120" s="6">
        <v>110.61</v>
      </c>
      <c r="N120" s="22">
        <f t="shared" si="1"/>
        <v>-9.0326077138469518E-4</v>
      </c>
    </row>
    <row r="121" spans="12:14" x14ac:dyDescent="0.3">
      <c r="L121" s="21">
        <v>45831</v>
      </c>
      <c r="M121" s="6">
        <v>107.82</v>
      </c>
      <c r="N121" s="22">
        <f t="shared" si="1"/>
        <v>-2.5223759153783609E-2</v>
      </c>
    </row>
    <row r="122" spans="12:14" x14ac:dyDescent="0.3">
      <c r="L122" s="21">
        <v>45828</v>
      </c>
      <c r="M122" s="6">
        <v>107.22</v>
      </c>
      <c r="N122" s="22">
        <f t="shared" si="1"/>
        <v>-5.5648302726766241E-3</v>
      </c>
    </row>
    <row r="123" spans="12:14" x14ac:dyDescent="0.3">
      <c r="L123" s="21">
        <v>45827</v>
      </c>
      <c r="M123" s="6">
        <v>104.89</v>
      </c>
      <c r="N123" s="22">
        <f t="shared" si="1"/>
        <v>-2.1731020332027562E-2</v>
      </c>
    </row>
    <row r="124" spans="12:14" x14ac:dyDescent="0.3">
      <c r="L124" s="21">
        <v>45826</v>
      </c>
      <c r="M124" s="6">
        <v>108.22</v>
      </c>
      <c r="N124" s="22">
        <f t="shared" si="1"/>
        <v>3.1747545047192238E-2</v>
      </c>
    </row>
    <row r="125" spans="12:14" x14ac:dyDescent="0.3">
      <c r="L125" s="21">
        <v>45825</v>
      </c>
      <c r="M125" s="6">
        <v>109.23</v>
      </c>
      <c r="N125" s="22">
        <f t="shared" si="1"/>
        <v>9.3328405100721046E-3</v>
      </c>
    </row>
    <row r="126" spans="12:14" x14ac:dyDescent="0.3">
      <c r="L126" s="21">
        <v>45824</v>
      </c>
      <c r="M126" s="6">
        <v>111.24</v>
      </c>
      <c r="N126" s="22">
        <f t="shared" si="1"/>
        <v>1.8401538039000132E-2</v>
      </c>
    </row>
    <row r="127" spans="12:14" x14ac:dyDescent="0.3">
      <c r="L127" s="21">
        <v>45821</v>
      </c>
      <c r="M127" s="6">
        <v>111.46</v>
      </c>
      <c r="N127" s="22">
        <f t="shared" si="1"/>
        <v>1.9777058612009402E-3</v>
      </c>
    </row>
    <row r="128" spans="12:14" x14ac:dyDescent="0.3">
      <c r="L128" s="21">
        <v>45820</v>
      </c>
      <c r="M128" s="6">
        <v>115.64</v>
      </c>
      <c r="N128" s="22">
        <f t="shared" si="1"/>
        <v>3.7502242957114795E-2</v>
      </c>
    </row>
    <row r="129" spans="12:14" x14ac:dyDescent="0.3">
      <c r="L129" s="21">
        <v>45819</v>
      </c>
      <c r="M129" s="6">
        <v>117.09</v>
      </c>
      <c r="N129" s="22">
        <f t="shared" si="1"/>
        <v>1.2538913870633106E-2</v>
      </c>
    </row>
    <row r="130" spans="12:14" x14ac:dyDescent="0.3">
      <c r="L130" s="21">
        <v>45818</v>
      </c>
      <c r="M130" s="6">
        <v>117.76</v>
      </c>
      <c r="N130" s="22">
        <f t="shared" si="1"/>
        <v>5.7220941156375105E-3</v>
      </c>
    </row>
    <row r="131" spans="12:14" x14ac:dyDescent="0.3">
      <c r="L131" s="21">
        <v>45817</v>
      </c>
      <c r="M131" s="6">
        <v>117.69</v>
      </c>
      <c r="N131" s="22">
        <f t="shared" si="1"/>
        <v>-5.9442934782616419E-4</v>
      </c>
    </row>
    <row r="132" spans="12:14" x14ac:dyDescent="0.3">
      <c r="L132" s="21">
        <v>45814</v>
      </c>
      <c r="M132" s="6">
        <v>115.71</v>
      </c>
      <c r="N132" s="22">
        <f t="shared" ref="N132:N195" si="2">M132/M131-1</f>
        <v>-1.6823859291358656E-2</v>
      </c>
    </row>
    <row r="133" spans="12:14" x14ac:dyDescent="0.3">
      <c r="L133" s="21">
        <v>45813</v>
      </c>
      <c r="M133" s="6">
        <v>116.38</v>
      </c>
      <c r="N133" s="22">
        <f t="shared" si="2"/>
        <v>5.7903379137498323E-3</v>
      </c>
    </row>
    <row r="134" spans="12:14" x14ac:dyDescent="0.3">
      <c r="L134" s="21">
        <v>45812</v>
      </c>
      <c r="M134" s="6">
        <v>117.32</v>
      </c>
      <c r="N134" s="22">
        <f t="shared" si="2"/>
        <v>8.0769891733973864E-3</v>
      </c>
    </row>
    <row r="135" spans="12:14" x14ac:dyDescent="0.3">
      <c r="L135" s="21">
        <v>45811</v>
      </c>
      <c r="M135" s="6">
        <v>115.91</v>
      </c>
      <c r="N135" s="22">
        <f t="shared" si="2"/>
        <v>-1.2018411183088995E-2</v>
      </c>
    </row>
    <row r="136" spans="12:14" x14ac:dyDescent="0.3">
      <c r="L136" s="21">
        <v>45810</v>
      </c>
      <c r="M136" s="6">
        <v>116.84</v>
      </c>
      <c r="N136" s="22">
        <f t="shared" si="2"/>
        <v>8.0234664826159818E-3</v>
      </c>
    </row>
    <row r="137" spans="12:14" x14ac:dyDescent="0.3">
      <c r="L137" s="21">
        <v>45807</v>
      </c>
      <c r="M137" s="6">
        <v>114.76</v>
      </c>
      <c r="N137" s="22">
        <f t="shared" si="2"/>
        <v>-1.7802122560766853E-2</v>
      </c>
    </row>
    <row r="138" spans="12:14" x14ac:dyDescent="0.3">
      <c r="L138" s="21">
        <v>45806</v>
      </c>
      <c r="M138" s="6">
        <v>110.73</v>
      </c>
      <c r="N138" s="22">
        <f t="shared" si="2"/>
        <v>-3.5116765423492513E-2</v>
      </c>
    </row>
    <row r="139" spans="12:14" x14ac:dyDescent="0.3">
      <c r="L139" s="21">
        <v>45805</v>
      </c>
      <c r="M139" s="6">
        <v>110.94</v>
      </c>
      <c r="N139" s="22">
        <f t="shared" si="2"/>
        <v>1.8965050121917404E-3</v>
      </c>
    </row>
    <row r="140" spans="12:14" x14ac:dyDescent="0.3">
      <c r="L140" s="21">
        <v>45804</v>
      </c>
      <c r="M140" s="6">
        <v>108.43</v>
      </c>
      <c r="N140" s="22">
        <f t="shared" si="2"/>
        <v>-2.2624842257075839E-2</v>
      </c>
    </row>
    <row r="141" spans="12:14" x14ac:dyDescent="0.3">
      <c r="L141" s="21">
        <v>45803</v>
      </c>
      <c r="M141" s="6">
        <v>107.48</v>
      </c>
      <c r="N141" s="22">
        <f t="shared" si="2"/>
        <v>-8.7614128931108315E-3</v>
      </c>
    </row>
    <row r="142" spans="12:14" x14ac:dyDescent="0.3">
      <c r="L142" s="21">
        <v>45800</v>
      </c>
      <c r="M142" s="6">
        <v>107.21</v>
      </c>
      <c r="N142" s="22">
        <f t="shared" si="2"/>
        <v>-2.5120952735393498E-3</v>
      </c>
    </row>
    <row r="143" spans="12:14" x14ac:dyDescent="0.3">
      <c r="L143" s="21">
        <v>45799</v>
      </c>
      <c r="M143" s="6">
        <v>106.84</v>
      </c>
      <c r="N143" s="22">
        <f t="shared" si="2"/>
        <v>-3.4511705997574138E-3</v>
      </c>
    </row>
    <row r="144" spans="12:14" x14ac:dyDescent="0.3">
      <c r="L144" s="21">
        <v>45798</v>
      </c>
      <c r="M144" s="6">
        <v>107.84</v>
      </c>
      <c r="N144" s="22">
        <f t="shared" si="2"/>
        <v>9.359790340696339E-3</v>
      </c>
    </row>
    <row r="145" spans="12:14" x14ac:dyDescent="0.3">
      <c r="L145" s="21">
        <v>45797</v>
      </c>
      <c r="M145" s="6">
        <v>107.04</v>
      </c>
      <c r="N145" s="22">
        <f t="shared" si="2"/>
        <v>-7.4183976261127382E-3</v>
      </c>
    </row>
    <row r="146" spans="12:14" x14ac:dyDescent="0.3">
      <c r="L146" s="21">
        <v>45796</v>
      </c>
      <c r="M146" s="6">
        <v>107.96</v>
      </c>
      <c r="N146" s="22">
        <f t="shared" si="2"/>
        <v>8.5949177877426841E-3</v>
      </c>
    </row>
    <row r="147" spans="12:14" x14ac:dyDescent="0.3">
      <c r="L147" s="21">
        <v>45793</v>
      </c>
      <c r="M147" s="6">
        <v>107.76</v>
      </c>
      <c r="N147" s="22">
        <f t="shared" si="2"/>
        <v>-1.8525379770284456E-3</v>
      </c>
    </row>
    <row r="148" spans="12:14" x14ac:dyDescent="0.3">
      <c r="L148" s="21">
        <v>45792</v>
      </c>
      <c r="M148" s="6">
        <v>105.16</v>
      </c>
      <c r="N148" s="22">
        <f t="shared" si="2"/>
        <v>-2.4127691165553133E-2</v>
      </c>
    </row>
    <row r="149" spans="12:14" x14ac:dyDescent="0.3">
      <c r="L149" s="21">
        <v>45791</v>
      </c>
      <c r="M149" s="6">
        <v>105.67</v>
      </c>
      <c r="N149" s="22">
        <f t="shared" si="2"/>
        <v>4.8497527577024968E-3</v>
      </c>
    </row>
    <row r="150" spans="12:14" x14ac:dyDescent="0.3">
      <c r="L150" s="21">
        <v>45790</v>
      </c>
      <c r="M150" s="6">
        <v>104.78</v>
      </c>
      <c r="N150" s="22">
        <f t="shared" si="2"/>
        <v>-8.4224472414119456E-3</v>
      </c>
    </row>
    <row r="151" spans="12:14" x14ac:dyDescent="0.3">
      <c r="L151" s="21">
        <v>45789</v>
      </c>
      <c r="M151" s="6">
        <v>100.86</v>
      </c>
      <c r="N151" s="22">
        <f t="shared" si="2"/>
        <v>-3.7411719793853826E-2</v>
      </c>
    </row>
    <row r="152" spans="12:14" x14ac:dyDescent="0.3">
      <c r="L152" s="21">
        <v>45786</v>
      </c>
      <c r="M152" s="6">
        <v>97.64</v>
      </c>
      <c r="N152" s="22">
        <f t="shared" si="2"/>
        <v>-3.1925441205631566E-2</v>
      </c>
    </row>
    <row r="153" spans="12:14" x14ac:dyDescent="0.3">
      <c r="L153" s="21">
        <v>45785</v>
      </c>
      <c r="M153" s="6">
        <v>95.37</v>
      </c>
      <c r="N153" s="22">
        <f t="shared" si="2"/>
        <v>-2.3248668578451426E-2</v>
      </c>
    </row>
    <row r="154" spans="12:14" x14ac:dyDescent="0.3">
      <c r="L154" s="21">
        <v>45784</v>
      </c>
      <c r="M154" s="6">
        <v>93.67</v>
      </c>
      <c r="N154" s="22">
        <f t="shared" si="2"/>
        <v>-1.7825311942958999E-2</v>
      </c>
    </row>
    <row r="155" spans="12:14" x14ac:dyDescent="0.3">
      <c r="L155" s="21">
        <v>45783</v>
      </c>
      <c r="M155" s="6">
        <v>92.38</v>
      </c>
      <c r="N155" s="22">
        <f t="shared" si="2"/>
        <v>-1.377175189495039E-2</v>
      </c>
    </row>
    <row r="156" spans="12:14" x14ac:dyDescent="0.3">
      <c r="L156" s="21">
        <v>45782</v>
      </c>
      <c r="M156" s="6">
        <v>97.16</v>
      </c>
      <c r="N156" s="22">
        <f t="shared" si="2"/>
        <v>5.1742801472180133E-2</v>
      </c>
    </row>
    <row r="157" spans="12:14" x14ac:dyDescent="0.3">
      <c r="L157" s="21">
        <v>45779</v>
      </c>
      <c r="M157" s="6">
        <v>96.85</v>
      </c>
      <c r="N157" s="22">
        <f t="shared" si="2"/>
        <v>-3.1906134211610038E-3</v>
      </c>
    </row>
    <row r="158" spans="12:14" x14ac:dyDescent="0.3">
      <c r="L158" s="21">
        <v>45777</v>
      </c>
      <c r="M158" s="6">
        <v>97.45</v>
      </c>
      <c r="N158" s="22">
        <f t="shared" si="2"/>
        <v>6.1951471347445608E-3</v>
      </c>
    </row>
    <row r="159" spans="12:14" x14ac:dyDescent="0.3">
      <c r="L159" s="21">
        <v>45776</v>
      </c>
      <c r="M159" s="6">
        <v>99.33</v>
      </c>
      <c r="N159" s="22">
        <f t="shared" si="2"/>
        <v>1.9291944586967702E-2</v>
      </c>
    </row>
    <row r="160" spans="12:14" x14ac:dyDescent="0.3">
      <c r="L160" s="21">
        <v>45775</v>
      </c>
      <c r="M160" s="6">
        <v>98.45</v>
      </c>
      <c r="N160" s="22">
        <f t="shared" si="2"/>
        <v>-8.8593576965669829E-3</v>
      </c>
    </row>
    <row r="161" spans="12:14" x14ac:dyDescent="0.3">
      <c r="L161" s="21">
        <v>45772</v>
      </c>
      <c r="M161" s="6">
        <v>96.53</v>
      </c>
      <c r="N161" s="22">
        <f t="shared" si="2"/>
        <v>-1.9502285424073174E-2</v>
      </c>
    </row>
    <row r="162" spans="12:14" x14ac:dyDescent="0.3">
      <c r="L162" s="21">
        <v>45771</v>
      </c>
      <c r="M162" s="6">
        <v>99.39</v>
      </c>
      <c r="N162" s="22">
        <f t="shared" si="2"/>
        <v>2.96280948927794E-2</v>
      </c>
    </row>
    <row r="163" spans="12:14" x14ac:dyDescent="0.3">
      <c r="L163" s="21">
        <v>45770</v>
      </c>
      <c r="M163" s="6">
        <v>99.45</v>
      </c>
      <c r="N163" s="22">
        <f t="shared" si="2"/>
        <v>6.0368246302444639E-4</v>
      </c>
    </row>
    <row r="164" spans="12:14" x14ac:dyDescent="0.3">
      <c r="L164" s="21">
        <v>45769</v>
      </c>
      <c r="M164" s="6">
        <v>100.66</v>
      </c>
      <c r="N164" s="22">
        <f t="shared" si="2"/>
        <v>1.2166918049270947E-2</v>
      </c>
    </row>
    <row r="165" spans="12:14" x14ac:dyDescent="0.3">
      <c r="L165" s="21">
        <v>45768</v>
      </c>
      <c r="M165" s="6">
        <v>99</v>
      </c>
      <c r="N165" s="22">
        <f t="shared" si="2"/>
        <v>-1.6491158354857927E-2</v>
      </c>
    </row>
    <row r="166" spans="12:14" x14ac:dyDescent="0.3">
      <c r="L166" s="21">
        <v>45764</v>
      </c>
      <c r="M166" s="6">
        <v>96.02</v>
      </c>
      <c r="N166" s="22">
        <f t="shared" si="2"/>
        <v>-3.0101010101010184E-2</v>
      </c>
    </row>
    <row r="167" spans="12:14" x14ac:dyDescent="0.3">
      <c r="L167" s="21">
        <v>45763</v>
      </c>
      <c r="M167" s="6">
        <v>94.7</v>
      </c>
      <c r="N167" s="22">
        <f t="shared" si="2"/>
        <v>-1.3747136013330441E-2</v>
      </c>
    </row>
    <row r="168" spans="12:14" x14ac:dyDescent="0.3">
      <c r="L168" s="21">
        <v>45762</v>
      </c>
      <c r="M168" s="6">
        <v>92.69</v>
      </c>
      <c r="N168" s="22">
        <f t="shared" si="2"/>
        <v>-2.1224920802534353E-2</v>
      </c>
    </row>
    <row r="169" spans="12:14" x14ac:dyDescent="0.3">
      <c r="L169" s="21">
        <v>45758</v>
      </c>
      <c r="M169" s="6">
        <v>90.54</v>
      </c>
      <c r="N169" s="22">
        <f t="shared" si="2"/>
        <v>-2.3195598230661307E-2</v>
      </c>
    </row>
    <row r="170" spans="12:14" x14ac:dyDescent="0.3">
      <c r="L170" s="21">
        <v>45756</v>
      </c>
      <c r="M170" s="6">
        <v>88.42</v>
      </c>
      <c r="N170" s="22">
        <f t="shared" si="2"/>
        <v>-2.341506516456815E-2</v>
      </c>
    </row>
    <row r="171" spans="12:14" x14ac:dyDescent="0.3">
      <c r="L171" s="21">
        <v>45755</v>
      </c>
      <c r="M171" s="6">
        <v>89.43</v>
      </c>
      <c r="N171" s="22">
        <f t="shared" si="2"/>
        <v>1.1422755032798104E-2</v>
      </c>
    </row>
    <row r="172" spans="12:14" x14ac:dyDescent="0.3">
      <c r="L172" s="21">
        <v>45754</v>
      </c>
      <c r="M172" s="6">
        <v>87.1</v>
      </c>
      <c r="N172" s="22">
        <f t="shared" si="2"/>
        <v>-2.6053896902605511E-2</v>
      </c>
    </row>
    <row r="173" spans="12:14" x14ac:dyDescent="0.3">
      <c r="L173" s="21">
        <v>45751</v>
      </c>
      <c r="M173" s="6">
        <v>90.39</v>
      </c>
      <c r="N173" s="22">
        <f t="shared" si="2"/>
        <v>3.7772675086108043E-2</v>
      </c>
    </row>
    <row r="174" spans="12:14" x14ac:dyDescent="0.3">
      <c r="L174" s="21">
        <v>45750</v>
      </c>
      <c r="M174" s="6">
        <v>94.38</v>
      </c>
      <c r="N174" s="22">
        <f t="shared" si="2"/>
        <v>4.4142051111848657E-2</v>
      </c>
    </row>
    <row r="175" spans="12:14" x14ac:dyDescent="0.3">
      <c r="L175" s="21">
        <v>45749</v>
      </c>
      <c r="M175" s="6">
        <v>91.1</v>
      </c>
      <c r="N175" s="22">
        <f t="shared" si="2"/>
        <v>-3.4753125662216555E-2</v>
      </c>
    </row>
    <row r="176" spans="12:14" x14ac:dyDescent="0.3">
      <c r="L176" s="21">
        <v>45748</v>
      </c>
      <c r="M176" s="6">
        <v>90</v>
      </c>
      <c r="N176" s="22">
        <f t="shared" si="2"/>
        <v>-1.207464324917662E-2</v>
      </c>
    </row>
    <row r="177" spans="12:14" x14ac:dyDescent="0.3">
      <c r="L177" s="21">
        <v>45744</v>
      </c>
      <c r="M177" s="6">
        <v>89</v>
      </c>
      <c r="N177" s="22">
        <f t="shared" si="2"/>
        <v>-1.1111111111111072E-2</v>
      </c>
    </row>
    <row r="178" spans="12:14" x14ac:dyDescent="0.3">
      <c r="L178" s="21">
        <v>45743</v>
      </c>
      <c r="M178" s="6">
        <v>89.65</v>
      </c>
      <c r="N178" s="22">
        <f t="shared" si="2"/>
        <v>7.3033707865168829E-3</v>
      </c>
    </row>
    <row r="179" spans="12:14" x14ac:dyDescent="0.3">
      <c r="L179" s="21">
        <v>45742</v>
      </c>
      <c r="M179" s="6">
        <v>87.24</v>
      </c>
      <c r="N179" s="22">
        <f t="shared" si="2"/>
        <v>-2.6882320133853943E-2</v>
      </c>
    </row>
    <row r="180" spans="12:14" x14ac:dyDescent="0.3">
      <c r="L180" s="21">
        <v>45741</v>
      </c>
      <c r="M180" s="6">
        <v>88.46</v>
      </c>
      <c r="N180" s="22">
        <f t="shared" si="2"/>
        <v>1.3984410820724325E-2</v>
      </c>
    </row>
    <row r="181" spans="12:14" x14ac:dyDescent="0.3">
      <c r="L181" s="21">
        <v>45740</v>
      </c>
      <c r="M181" s="6">
        <v>91.32</v>
      </c>
      <c r="N181" s="22">
        <f t="shared" si="2"/>
        <v>3.2330997060818545E-2</v>
      </c>
    </row>
    <row r="182" spans="12:14" x14ac:dyDescent="0.3">
      <c r="L182" s="21">
        <v>45737</v>
      </c>
      <c r="M182" s="6">
        <v>87.54</v>
      </c>
      <c r="N182" s="22">
        <f t="shared" si="2"/>
        <v>-4.13929040735872E-2</v>
      </c>
    </row>
    <row r="183" spans="12:14" x14ac:dyDescent="0.3">
      <c r="L183" s="21">
        <v>45736</v>
      </c>
      <c r="M183" s="6">
        <v>85.84</v>
      </c>
      <c r="N183" s="22">
        <f t="shared" si="2"/>
        <v>-1.941969385423814E-2</v>
      </c>
    </row>
    <row r="184" spans="12:14" x14ac:dyDescent="0.3">
      <c r="L184" s="21">
        <v>45735</v>
      </c>
      <c r="M184" s="6">
        <v>85.57</v>
      </c>
      <c r="N184" s="22">
        <f t="shared" si="2"/>
        <v>-3.1453867660765633E-3</v>
      </c>
    </row>
    <row r="185" spans="12:14" x14ac:dyDescent="0.3">
      <c r="L185" s="21">
        <v>45734</v>
      </c>
      <c r="M185" s="6">
        <v>83.92</v>
      </c>
      <c r="N185" s="22">
        <f t="shared" si="2"/>
        <v>-1.9282458805656044E-2</v>
      </c>
    </row>
    <row r="186" spans="12:14" x14ac:dyDescent="0.3">
      <c r="L186" s="21">
        <v>45733</v>
      </c>
      <c r="M186" s="6">
        <v>82.49</v>
      </c>
      <c r="N186" s="22">
        <f t="shared" si="2"/>
        <v>-1.704003813155397E-2</v>
      </c>
    </row>
    <row r="187" spans="12:14" x14ac:dyDescent="0.3">
      <c r="L187" s="21">
        <v>45729</v>
      </c>
      <c r="M187" s="6">
        <v>82.9</v>
      </c>
      <c r="N187" s="22">
        <f t="shared" si="2"/>
        <v>4.9702994302340819E-3</v>
      </c>
    </row>
    <row r="188" spans="12:14" x14ac:dyDescent="0.3">
      <c r="L188" s="21">
        <v>45728</v>
      </c>
      <c r="M188" s="6">
        <v>82.46</v>
      </c>
      <c r="N188" s="22">
        <f t="shared" si="2"/>
        <v>-5.3075995174910462E-3</v>
      </c>
    </row>
    <row r="189" spans="12:14" x14ac:dyDescent="0.3">
      <c r="L189" s="21">
        <v>45727</v>
      </c>
      <c r="M189" s="6">
        <v>83.28</v>
      </c>
      <c r="N189" s="22">
        <f t="shared" si="2"/>
        <v>9.944215377152732E-3</v>
      </c>
    </row>
    <row r="190" spans="12:14" x14ac:dyDescent="0.3">
      <c r="L190" s="21">
        <v>45726</v>
      </c>
      <c r="M190" s="6">
        <v>82.49</v>
      </c>
      <c r="N190" s="22">
        <f t="shared" si="2"/>
        <v>-9.4860710854948183E-3</v>
      </c>
    </row>
    <row r="191" spans="12:14" x14ac:dyDescent="0.3">
      <c r="L191" s="21">
        <v>45723</v>
      </c>
      <c r="M191" s="6">
        <v>85.02</v>
      </c>
      <c r="N191" s="22">
        <f t="shared" si="2"/>
        <v>3.0670384289004815E-2</v>
      </c>
    </row>
    <row r="192" spans="12:14" x14ac:dyDescent="0.3">
      <c r="L192" s="21">
        <v>45722</v>
      </c>
      <c r="M192" s="6">
        <v>85.35</v>
      </c>
      <c r="N192" s="22">
        <f t="shared" si="2"/>
        <v>3.881439661256092E-3</v>
      </c>
    </row>
    <row r="193" spans="12:14" x14ac:dyDescent="0.3">
      <c r="L193" s="21">
        <v>45721</v>
      </c>
      <c r="M193" s="6">
        <v>85.02</v>
      </c>
      <c r="N193" s="22">
        <f t="shared" si="2"/>
        <v>-3.8664323374341114E-3</v>
      </c>
    </row>
    <row r="194" spans="12:14" x14ac:dyDescent="0.3">
      <c r="L194" s="21">
        <v>45720</v>
      </c>
      <c r="M194" s="6">
        <v>81.94</v>
      </c>
      <c r="N194" s="22">
        <f t="shared" si="2"/>
        <v>-3.6226770171724265E-2</v>
      </c>
    </row>
    <row r="195" spans="12:14" x14ac:dyDescent="0.3">
      <c r="L195" s="21">
        <v>45719</v>
      </c>
      <c r="M195" s="6">
        <v>81.42</v>
      </c>
      <c r="N195" s="22">
        <f t="shared" si="2"/>
        <v>-6.3461069074932652E-3</v>
      </c>
    </row>
    <row r="196" spans="12:14" x14ac:dyDescent="0.3">
      <c r="L196" s="21">
        <v>45716</v>
      </c>
      <c r="M196" s="6">
        <v>80.900000000000006</v>
      </c>
      <c r="N196" s="22">
        <f t="shared" ref="N196:N251" si="3">M196/M195-1</f>
        <v>-6.3866371898796404E-3</v>
      </c>
    </row>
    <row r="197" spans="12:14" x14ac:dyDescent="0.3">
      <c r="L197" s="21">
        <v>45715</v>
      </c>
      <c r="M197" s="6">
        <v>83.46</v>
      </c>
      <c r="N197" s="22">
        <f t="shared" si="3"/>
        <v>3.1644004944375581E-2</v>
      </c>
    </row>
    <row r="198" spans="12:14" x14ac:dyDescent="0.3">
      <c r="L198" s="21">
        <v>45713</v>
      </c>
      <c r="M198" s="6">
        <v>85.02</v>
      </c>
      <c r="N198" s="22">
        <f t="shared" si="3"/>
        <v>1.8691588785046731E-2</v>
      </c>
    </row>
    <row r="199" spans="12:14" x14ac:dyDescent="0.3">
      <c r="L199" s="21">
        <v>45712</v>
      </c>
      <c r="M199" s="6">
        <v>86.95</v>
      </c>
      <c r="N199" s="22">
        <f t="shared" si="3"/>
        <v>2.2700541049164968E-2</v>
      </c>
    </row>
    <row r="200" spans="12:14" x14ac:dyDescent="0.3">
      <c r="L200" s="21">
        <v>45709</v>
      </c>
      <c r="M200" s="6">
        <v>87.33</v>
      </c>
      <c r="N200" s="22">
        <f t="shared" si="3"/>
        <v>4.370327774583016E-3</v>
      </c>
    </row>
    <row r="201" spans="12:14" x14ac:dyDescent="0.3">
      <c r="L201" s="21">
        <v>45708</v>
      </c>
      <c r="M201" s="6">
        <v>88.06</v>
      </c>
      <c r="N201" s="22">
        <f t="shared" si="3"/>
        <v>8.3590976754839286E-3</v>
      </c>
    </row>
    <row r="202" spans="12:14" x14ac:dyDescent="0.3">
      <c r="L202" s="21">
        <v>45707</v>
      </c>
      <c r="M202" s="6">
        <v>85.56</v>
      </c>
      <c r="N202" s="22">
        <f t="shared" si="3"/>
        <v>-2.8389734272087241E-2</v>
      </c>
    </row>
    <row r="203" spans="12:14" x14ac:dyDescent="0.3">
      <c r="L203" s="21">
        <v>45706</v>
      </c>
      <c r="M203" s="6">
        <v>84.65</v>
      </c>
      <c r="N203" s="22">
        <f t="shared" si="3"/>
        <v>-1.063581112669465E-2</v>
      </c>
    </row>
    <row r="204" spans="12:14" x14ac:dyDescent="0.3">
      <c r="L204" s="21">
        <v>45705</v>
      </c>
      <c r="M204" s="6">
        <v>85.09</v>
      </c>
      <c r="N204" s="22">
        <f t="shared" si="3"/>
        <v>5.1978735971647261E-3</v>
      </c>
    </row>
    <row r="205" spans="12:14" x14ac:dyDescent="0.3">
      <c r="L205" s="21">
        <v>45702</v>
      </c>
      <c r="M205" s="6">
        <v>85.62</v>
      </c>
      <c r="N205" s="22">
        <f t="shared" si="3"/>
        <v>6.2286990245621343E-3</v>
      </c>
    </row>
    <row r="206" spans="12:14" x14ac:dyDescent="0.3">
      <c r="L206" s="21">
        <v>45701</v>
      </c>
      <c r="M206" s="6">
        <v>88.72</v>
      </c>
      <c r="N206" s="22">
        <f t="shared" si="3"/>
        <v>3.620649380985741E-2</v>
      </c>
    </row>
    <row r="207" spans="12:14" x14ac:dyDescent="0.3">
      <c r="L207" s="21">
        <v>45700</v>
      </c>
      <c r="M207" s="6">
        <v>90.54</v>
      </c>
      <c r="N207" s="22">
        <f t="shared" si="3"/>
        <v>2.0513976555455393E-2</v>
      </c>
    </row>
    <row r="208" spans="12:14" x14ac:dyDescent="0.3">
      <c r="L208" s="21">
        <v>45699</v>
      </c>
      <c r="M208" s="6">
        <v>90.09</v>
      </c>
      <c r="N208" s="22">
        <f t="shared" si="3"/>
        <v>-4.9701789264413598E-3</v>
      </c>
    </row>
    <row r="209" spans="12:14" x14ac:dyDescent="0.3">
      <c r="L209" s="21">
        <v>45698</v>
      </c>
      <c r="M209" s="6">
        <v>93.17</v>
      </c>
      <c r="N209" s="22">
        <f t="shared" si="3"/>
        <v>3.4188034188034067E-2</v>
      </c>
    </row>
    <row r="210" spans="12:14" x14ac:dyDescent="0.3">
      <c r="L210" s="21">
        <v>45695</v>
      </c>
      <c r="M210" s="6">
        <v>94.06</v>
      </c>
      <c r="N210" s="22">
        <f t="shared" si="3"/>
        <v>9.5524310400343371E-3</v>
      </c>
    </row>
    <row r="211" spans="12:14" x14ac:dyDescent="0.3">
      <c r="L211" s="21">
        <v>45694</v>
      </c>
      <c r="M211" s="6">
        <v>94.86</v>
      </c>
      <c r="N211" s="22">
        <f t="shared" si="3"/>
        <v>8.5052094407824796E-3</v>
      </c>
    </row>
    <row r="212" spans="12:14" x14ac:dyDescent="0.3">
      <c r="L212" s="21">
        <v>45693</v>
      </c>
      <c r="M212" s="6">
        <v>95.83</v>
      </c>
      <c r="N212" s="22">
        <f t="shared" si="3"/>
        <v>1.02255956145898E-2</v>
      </c>
    </row>
    <row r="213" spans="12:14" x14ac:dyDescent="0.3">
      <c r="L213" s="21">
        <v>45692</v>
      </c>
      <c r="M213" s="6">
        <v>92.84</v>
      </c>
      <c r="N213" s="22">
        <f t="shared" si="3"/>
        <v>-3.1201085255139205E-2</v>
      </c>
    </row>
    <row r="214" spans="12:14" x14ac:dyDescent="0.3">
      <c r="L214" s="21">
        <v>45691</v>
      </c>
      <c r="M214" s="6">
        <v>90.61</v>
      </c>
      <c r="N214" s="22">
        <f t="shared" si="3"/>
        <v>-2.40198190435158E-2</v>
      </c>
    </row>
    <row r="215" spans="12:14" x14ac:dyDescent="0.3">
      <c r="L215" s="21">
        <v>45689</v>
      </c>
      <c r="M215" s="6">
        <v>92.62</v>
      </c>
      <c r="N215" s="22">
        <f t="shared" si="3"/>
        <v>2.2182982010815699E-2</v>
      </c>
    </row>
    <row r="216" spans="12:14" x14ac:dyDescent="0.3">
      <c r="L216" s="21">
        <v>45688</v>
      </c>
      <c r="M216" s="6">
        <v>93.27</v>
      </c>
      <c r="N216" s="22">
        <f t="shared" si="3"/>
        <v>7.0179226948823281E-3</v>
      </c>
    </row>
    <row r="217" spans="12:14" x14ac:dyDescent="0.3">
      <c r="L217" s="21">
        <v>45687</v>
      </c>
      <c r="M217" s="6">
        <v>90.91</v>
      </c>
      <c r="N217" s="22">
        <f t="shared" si="3"/>
        <v>-2.5302884099924983E-2</v>
      </c>
    </row>
    <row r="218" spans="12:14" x14ac:dyDescent="0.3">
      <c r="L218" s="21">
        <v>45686</v>
      </c>
      <c r="M218" s="6">
        <v>91.93</v>
      </c>
      <c r="N218" s="22">
        <f t="shared" si="3"/>
        <v>1.1219887801122042E-2</v>
      </c>
    </row>
    <row r="219" spans="12:14" x14ac:dyDescent="0.3">
      <c r="L219" s="21">
        <v>45685</v>
      </c>
      <c r="M219" s="6">
        <v>91.82</v>
      </c>
      <c r="N219" s="22">
        <f t="shared" si="3"/>
        <v>-1.196562601979867E-3</v>
      </c>
    </row>
    <row r="220" spans="12:14" x14ac:dyDescent="0.3">
      <c r="L220" s="21">
        <v>45684</v>
      </c>
      <c r="M220" s="6">
        <v>91.93</v>
      </c>
      <c r="N220" s="22">
        <f t="shared" si="3"/>
        <v>1.1979960792856126E-3</v>
      </c>
    </row>
    <row r="221" spans="12:14" x14ac:dyDescent="0.3">
      <c r="L221" s="21">
        <v>45681</v>
      </c>
      <c r="M221" s="6">
        <v>96.75</v>
      </c>
      <c r="N221" s="22">
        <f t="shared" si="3"/>
        <v>5.2431197650386174E-2</v>
      </c>
    </row>
    <row r="222" spans="12:14" x14ac:dyDescent="0.3">
      <c r="L222" s="21">
        <v>45680</v>
      </c>
      <c r="M222" s="6">
        <v>98.15</v>
      </c>
      <c r="N222" s="22">
        <f t="shared" si="3"/>
        <v>1.4470284237726228E-2</v>
      </c>
    </row>
    <row r="223" spans="12:14" x14ac:dyDescent="0.3">
      <c r="L223" s="21">
        <v>45679</v>
      </c>
      <c r="M223" s="6">
        <v>97.82</v>
      </c>
      <c r="N223" s="22">
        <f t="shared" si="3"/>
        <v>-3.3622007131942633E-3</v>
      </c>
    </row>
    <row r="224" spans="12:14" x14ac:dyDescent="0.3">
      <c r="L224" s="21">
        <v>45678</v>
      </c>
      <c r="M224" s="6">
        <v>99.47</v>
      </c>
      <c r="N224" s="22">
        <f t="shared" si="3"/>
        <v>1.6867716213453399E-2</v>
      </c>
    </row>
    <row r="225" spans="12:14" x14ac:dyDescent="0.3">
      <c r="L225" s="21">
        <v>45677</v>
      </c>
      <c r="M225" s="6">
        <v>101.04</v>
      </c>
      <c r="N225" s="22">
        <f t="shared" si="3"/>
        <v>1.5783653362823058E-2</v>
      </c>
    </row>
    <row r="226" spans="12:14" x14ac:dyDescent="0.3">
      <c r="L226" s="21">
        <v>45674</v>
      </c>
      <c r="M226" s="6">
        <v>97.88</v>
      </c>
      <c r="N226" s="22">
        <f t="shared" si="3"/>
        <v>-3.1274742676167921E-2</v>
      </c>
    </row>
    <row r="227" spans="12:14" x14ac:dyDescent="0.3">
      <c r="L227" s="21">
        <v>45673</v>
      </c>
      <c r="M227" s="6">
        <v>97.33</v>
      </c>
      <c r="N227" s="22">
        <f t="shared" si="3"/>
        <v>-5.6191254597466322E-3</v>
      </c>
    </row>
    <row r="228" spans="12:14" x14ac:dyDescent="0.3">
      <c r="L228" s="21">
        <v>45672</v>
      </c>
      <c r="M228" s="6">
        <v>94.69</v>
      </c>
      <c r="N228" s="22">
        <f t="shared" si="3"/>
        <v>-2.7124216582759653E-2</v>
      </c>
    </row>
    <row r="229" spans="12:14" x14ac:dyDescent="0.3">
      <c r="L229" s="21">
        <v>45671</v>
      </c>
      <c r="M229" s="6">
        <v>93.22</v>
      </c>
      <c r="N229" s="22">
        <f t="shared" si="3"/>
        <v>-1.5524342591614726E-2</v>
      </c>
    </row>
    <row r="230" spans="12:14" x14ac:dyDescent="0.3">
      <c r="L230" s="21">
        <v>45670</v>
      </c>
      <c r="M230" s="6">
        <v>88.52</v>
      </c>
      <c r="N230" s="22">
        <f t="shared" si="3"/>
        <v>-5.0418365157691492E-2</v>
      </c>
    </row>
    <row r="231" spans="12:14" x14ac:dyDescent="0.3">
      <c r="L231" s="21">
        <v>45667</v>
      </c>
      <c r="M231" s="6">
        <v>92.83</v>
      </c>
      <c r="N231" s="22">
        <f t="shared" si="3"/>
        <v>4.8689561680976157E-2</v>
      </c>
    </row>
    <row r="232" spans="12:14" x14ac:dyDescent="0.3">
      <c r="L232" s="21">
        <v>45666</v>
      </c>
      <c r="M232" s="6">
        <v>95.74</v>
      </c>
      <c r="N232" s="22">
        <f t="shared" si="3"/>
        <v>3.1347624690293951E-2</v>
      </c>
    </row>
    <row r="233" spans="12:14" x14ac:dyDescent="0.3">
      <c r="L233" s="21">
        <v>45665</v>
      </c>
      <c r="M233" s="6">
        <v>97.14</v>
      </c>
      <c r="N233" s="22">
        <f t="shared" si="3"/>
        <v>1.4622937121370416E-2</v>
      </c>
    </row>
    <row r="234" spans="12:14" x14ac:dyDescent="0.3">
      <c r="L234" s="21">
        <v>45664</v>
      </c>
      <c r="M234" s="6">
        <v>97.87</v>
      </c>
      <c r="N234" s="22">
        <f t="shared" si="3"/>
        <v>7.5149269096150828E-3</v>
      </c>
    </row>
    <row r="235" spans="12:14" x14ac:dyDescent="0.3">
      <c r="L235" s="21">
        <v>45663</v>
      </c>
      <c r="M235" s="6">
        <v>97.33</v>
      </c>
      <c r="N235" s="22">
        <f t="shared" si="3"/>
        <v>-5.5175232451211143E-3</v>
      </c>
    </row>
    <row r="236" spans="12:14" x14ac:dyDescent="0.3">
      <c r="L236" s="21">
        <v>45660</v>
      </c>
      <c r="M236" s="6">
        <v>101.45</v>
      </c>
      <c r="N236" s="22">
        <f t="shared" si="3"/>
        <v>4.2330216788246222E-2</v>
      </c>
    </row>
    <row r="237" spans="12:14" x14ac:dyDescent="0.3">
      <c r="L237" s="21">
        <v>45659</v>
      </c>
      <c r="M237" s="6">
        <v>101.1</v>
      </c>
      <c r="N237" s="22">
        <f t="shared" si="3"/>
        <v>-3.4499753573189462E-3</v>
      </c>
    </row>
    <row r="238" spans="12:14" x14ac:dyDescent="0.3">
      <c r="L238" s="21">
        <v>45658</v>
      </c>
      <c r="M238" s="6">
        <v>100.38</v>
      </c>
      <c r="N238" s="22">
        <f t="shared" si="3"/>
        <v>-7.1216617210682065E-3</v>
      </c>
    </row>
    <row r="239" spans="12:14" x14ac:dyDescent="0.3">
      <c r="L239" s="21">
        <v>45657</v>
      </c>
      <c r="M239" s="6">
        <v>100.12</v>
      </c>
      <c r="N239" s="22">
        <f t="shared" si="3"/>
        <v>-2.5901574018727391E-3</v>
      </c>
    </row>
    <row r="240" spans="12:14" x14ac:dyDescent="0.3">
      <c r="L240" s="21">
        <v>45656</v>
      </c>
      <c r="M240" s="6">
        <v>99.44</v>
      </c>
      <c r="N240" s="22">
        <f t="shared" si="3"/>
        <v>-6.7918497802637035E-3</v>
      </c>
    </row>
    <row r="241" spans="12:14" x14ac:dyDescent="0.3">
      <c r="L241" s="21">
        <v>45653</v>
      </c>
      <c r="M241" s="6">
        <v>100.36</v>
      </c>
      <c r="N241" s="22">
        <f t="shared" si="3"/>
        <v>9.2518101367660144E-3</v>
      </c>
    </row>
    <row r="242" spans="12:14" x14ac:dyDescent="0.3">
      <c r="L242" s="21">
        <v>45652</v>
      </c>
      <c r="M242" s="6">
        <v>101.03</v>
      </c>
      <c r="N242" s="22">
        <f t="shared" si="3"/>
        <v>6.6759665205260443E-3</v>
      </c>
    </row>
    <row r="243" spans="12:14" x14ac:dyDescent="0.3">
      <c r="L243" s="21">
        <v>45650</v>
      </c>
      <c r="M243" s="6">
        <v>100.55</v>
      </c>
      <c r="N243" s="22">
        <f t="shared" si="3"/>
        <v>-4.7510640403840565E-3</v>
      </c>
    </row>
    <row r="244" spans="12:14" x14ac:dyDescent="0.3">
      <c r="L244" s="21">
        <v>45649</v>
      </c>
      <c r="M244" s="6">
        <v>101.08</v>
      </c>
      <c r="N244" s="22">
        <f t="shared" si="3"/>
        <v>5.2710094480357128E-3</v>
      </c>
    </row>
    <row r="245" spans="12:14" x14ac:dyDescent="0.3">
      <c r="L245" s="21">
        <v>45646</v>
      </c>
      <c r="M245" s="6">
        <v>99.61</v>
      </c>
      <c r="N245" s="22">
        <f t="shared" si="3"/>
        <v>-1.454293628808867E-2</v>
      </c>
    </row>
    <row r="246" spans="12:14" x14ac:dyDescent="0.3">
      <c r="L246" s="21">
        <v>45645</v>
      </c>
      <c r="M246" s="6">
        <v>102.9</v>
      </c>
      <c r="N246" s="22">
        <f t="shared" si="3"/>
        <v>3.3028812368236293E-2</v>
      </c>
    </row>
    <row r="247" spans="12:14" x14ac:dyDescent="0.3">
      <c r="L247" s="21">
        <v>45644</v>
      </c>
      <c r="M247" s="6">
        <v>103.19</v>
      </c>
      <c r="N247" s="22">
        <f t="shared" si="3"/>
        <v>2.8182701652088582E-3</v>
      </c>
    </row>
    <row r="248" spans="12:14" x14ac:dyDescent="0.3">
      <c r="L248" s="21">
        <v>45643</v>
      </c>
      <c r="M248" s="6">
        <v>105.16</v>
      </c>
      <c r="N248" s="22">
        <f t="shared" si="3"/>
        <v>1.9090997189650238E-2</v>
      </c>
    </row>
    <row r="249" spans="12:14" x14ac:dyDescent="0.3">
      <c r="L249" s="21">
        <v>45642</v>
      </c>
      <c r="M249" s="6">
        <v>107.34</v>
      </c>
      <c r="N249" s="22">
        <f t="shared" si="3"/>
        <v>2.0730315709395208E-2</v>
      </c>
    </row>
    <row r="250" spans="12:14" x14ac:dyDescent="0.3">
      <c r="L250" s="21">
        <v>45639</v>
      </c>
      <c r="M250" s="6">
        <v>106.58</v>
      </c>
      <c r="N250" s="22">
        <f t="shared" si="3"/>
        <v>-7.0803055710826346E-3</v>
      </c>
    </row>
    <row r="251" spans="12:14" x14ac:dyDescent="0.3">
      <c r="L251" s="21">
        <v>45638</v>
      </c>
      <c r="M251" s="6">
        <v>107.5</v>
      </c>
      <c r="N251" s="22">
        <f t="shared" si="3"/>
        <v>8.632013510977643E-3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7CB9-CE63-475D-AE95-3B69CCF44A6C}">
  <dimension ref="A1"/>
  <sheetViews>
    <sheetView zoomScale="119" workbookViewId="0">
      <selection activeCell="F22" sqref="F2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CNBK Historical Data</vt:lpstr>
      <vt:lpstr>BSM</vt:lpstr>
      <vt:lpstr>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Oza</dc:creator>
  <cp:lastModifiedBy>Dolly Oza</cp:lastModifiedBy>
  <dcterms:created xsi:type="dcterms:W3CDTF">2025-12-14T17:14:33Z</dcterms:created>
  <dcterms:modified xsi:type="dcterms:W3CDTF">2026-02-13T16:46:41Z</dcterms:modified>
</cp:coreProperties>
</file>